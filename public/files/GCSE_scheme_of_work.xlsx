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11"/>
  <workbookPr codeName="ThisWorkbook" defaultThemeVersion="124226"/>
  <mc:AlternateContent xmlns:mc="http://schemas.openxmlformats.org/markup-compatibility/2006">
    <mc:Choice Requires="x15">
      <x15ac:absPath xmlns:x15ac="http://schemas.microsoft.com/office/spreadsheetml/2010/11/ac" url="https://d.docs.live.net/f59e6f712d7797e3/Teaching files/Teaching resources/Resources/"/>
    </mc:Choice>
  </mc:AlternateContent>
  <xr:revisionPtr revIDLastSave="2" documentId="11_F95ADA4C3E6C3B32FF2DB21D40358ADD53F8B1CE" xr6:coauthVersionLast="47" xr6:coauthVersionMax="47" xr10:uidLastSave="{426D4D5F-C11C-4CCD-B639-4DBA513DFB79}"/>
  <bookViews>
    <workbookView xWindow="-108" yWindow="-108" windowWidth="23256" windowHeight="13896" tabRatio="601" activeTab="2" xr2:uid="{00000000-000D-0000-FFFF-FFFF00000000}"/>
  </bookViews>
  <sheets>
    <sheet name="Front" sheetId="67" r:id="rId1"/>
    <sheet name="Foundation" sheetId="86" r:id="rId2"/>
    <sheet name="Higher" sheetId="85" r:id="rId3"/>
    <sheet name="Basic number" sheetId="1" r:id="rId4"/>
    <sheet name="Fractions and decimals" sheetId="3" r:id="rId5"/>
    <sheet name="Factors and multiples" sheetId="81" r:id="rId6"/>
    <sheet name="Indices" sheetId="7" r:id="rId7"/>
    <sheet name="Surds" sheetId="9" r:id="rId8"/>
    <sheet name="Standard form" sheetId="10" r:id="rId9"/>
    <sheet name="Rounding" sheetId="68" r:id="rId10"/>
    <sheet name="Ratio and proportion" sheetId="13" r:id="rId11"/>
    <sheet name="Basic percentages" sheetId="14" r:id="rId12"/>
    <sheet name="DIrect and inverse proportion" sheetId="73" r:id="rId13"/>
    <sheet name="Gradients and rates of change" sheetId="79" r:id="rId14"/>
    <sheet name="Growth and decay" sheetId="75" r:id="rId15"/>
    <sheet name="Basic algebra review" sheetId="15" r:id="rId16"/>
    <sheet name="Equations" sheetId="16" r:id="rId17"/>
    <sheet name="Algebraic fractions" sheetId="19" r:id="rId18"/>
    <sheet name="Quadratics" sheetId="18" r:id="rId19"/>
    <sheet name="Quadratic graphs" sheetId="84" r:id="rId20"/>
    <sheet name="Sketching graphs" sheetId="26" r:id="rId21"/>
    <sheet name="Transforming functions" sheetId="27" r:id="rId22"/>
    <sheet name="Real life graphs" sheetId="28" r:id="rId23"/>
    <sheet name="Pre-calculus" sheetId="29" r:id="rId24"/>
    <sheet name="Equation of a circle" sheetId="30" r:id="rId25"/>
    <sheet name="Further equations and graphs" sheetId="31" r:id="rId26"/>
    <sheet name="Solving quadratic equations" sheetId="83" r:id="rId27"/>
    <sheet name="Simultaneous equations" sheetId="33" r:id="rId28"/>
    <sheet name="Numerical methods" sheetId="34" r:id="rId29"/>
    <sheet name="Inequalities" sheetId="74" r:id="rId30"/>
    <sheet name="Sequences" sheetId="69" r:id="rId31"/>
    <sheet name="Angles, scales and bearings" sheetId="36" r:id="rId32"/>
    <sheet name="Constructions and loci" sheetId="37" r:id="rId33"/>
    <sheet name="Properties of polygons" sheetId="38" r:id="rId34"/>
    <sheet name="Congruence and similarity" sheetId="40" r:id="rId35"/>
    <sheet name="Transformations" sheetId="42" r:id="rId36"/>
    <sheet name="CIrcumference and area" sheetId="44" r:id="rId37"/>
    <sheet name="Circle theorems" sheetId="45" r:id="rId38"/>
    <sheet name="Coordinates and linear graphs" sheetId="46" r:id="rId39"/>
    <sheet name="Perimeter and area" sheetId="47" r:id="rId40"/>
    <sheet name="2D of 3D shapes" sheetId="53" r:id="rId41"/>
    <sheet name="Measures" sheetId="54" r:id="rId42"/>
    <sheet name="Scale factors and maps" sheetId="80" r:id="rId43"/>
    <sheet name="Volume" sheetId="52" r:id="rId44"/>
    <sheet name="Pythag and basic trig" sheetId="55" r:id="rId45"/>
    <sheet name="Trigonometry" sheetId="82" r:id="rId46"/>
    <sheet name="Sine and Cosine rules" sheetId="77" r:id="rId47"/>
    <sheet name="Vectors" sheetId="76" r:id="rId48"/>
    <sheet name="Basic probability" sheetId="57" r:id="rId49"/>
    <sheet name="Probability" sheetId="58" r:id="rId50"/>
    <sheet name="Collecting and representing " sheetId="62" r:id="rId51"/>
    <sheet name="Stats measures" sheetId="64" r:id="rId52"/>
    <sheet name="Scatter graphs" sheetId="71" r:id="rId5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86" l="1"/>
  <c r="D16" i="86" s="1"/>
  <c r="E16" i="86" s="1"/>
  <c r="F16" i="86" s="1"/>
  <c r="H16" i="86" s="1"/>
  <c r="I16" i="86" s="1"/>
  <c r="J16" i="86" s="1"/>
  <c r="K16" i="86" s="1"/>
  <c r="A18" i="86" s="1"/>
  <c r="B18" i="86" s="1"/>
  <c r="D18" i="86" s="1"/>
  <c r="E18" i="86" s="1"/>
  <c r="F18" i="86" s="1"/>
  <c r="H18" i="86" s="1"/>
  <c r="I18" i="86" s="1"/>
  <c r="J18" i="86" s="1"/>
  <c r="K18" i="86" s="1"/>
  <c r="A20" i="86" s="1"/>
  <c r="B20" i="86" s="1"/>
  <c r="D20" i="86" s="1"/>
  <c r="E20" i="86" s="1"/>
  <c r="F20" i="86" s="1"/>
  <c r="H20" i="86" s="1"/>
  <c r="I20" i="86" s="1"/>
  <c r="J20" i="86" s="1"/>
  <c r="K20" i="86" s="1"/>
  <c r="A22" i="86" s="1"/>
  <c r="B22" i="86" s="1"/>
  <c r="D22" i="86" s="1"/>
  <c r="E22" i="86" s="1"/>
  <c r="F22" i="86" s="1"/>
  <c r="H22" i="86" s="1"/>
  <c r="I22" i="86" s="1"/>
  <c r="J22" i="86" s="1"/>
  <c r="K22" i="86" s="1"/>
  <c r="A24" i="86" s="1"/>
  <c r="B24" i="86" s="1"/>
  <c r="D24" i="86" s="1"/>
  <c r="E24" i="86" s="1"/>
  <c r="F24" i="86" s="1"/>
  <c r="H24" i="86" s="1"/>
  <c r="I24" i="86" s="1"/>
  <c r="J24" i="86" s="1"/>
  <c r="K24" i="86" s="1"/>
  <c r="B3" i="86"/>
  <c r="D3" i="86" s="1"/>
  <c r="E3" i="86" s="1"/>
  <c r="F3" i="86" s="1"/>
  <c r="H3" i="86" s="1"/>
  <c r="I3" i="86" s="1"/>
  <c r="J3" i="86" s="1"/>
  <c r="K3" i="86" s="1"/>
  <c r="A5" i="86" s="1"/>
  <c r="B5" i="86" s="1"/>
  <c r="D5" i="86" s="1"/>
  <c r="E5" i="86" s="1"/>
  <c r="F5" i="86" s="1"/>
  <c r="H5" i="86" s="1"/>
  <c r="I5" i="86" s="1"/>
  <c r="J5" i="86" s="1"/>
  <c r="K5" i="86" s="1"/>
  <c r="A7" i="86" s="1"/>
  <c r="B7" i="86" s="1"/>
  <c r="D7" i="86" s="1"/>
  <c r="E7" i="86" s="1"/>
  <c r="F7" i="86" s="1"/>
  <c r="H7" i="86" s="1"/>
  <c r="I7" i="86" s="1"/>
  <c r="J7" i="86" s="1"/>
  <c r="K7" i="86" s="1"/>
  <c r="A9" i="86" s="1"/>
  <c r="B9" i="86" s="1"/>
  <c r="D9" i="86" s="1"/>
  <c r="E9" i="86" s="1"/>
  <c r="F9" i="86" s="1"/>
  <c r="H9" i="86" s="1"/>
  <c r="I9" i="86" s="1"/>
  <c r="J9" i="86" s="1"/>
  <c r="K9" i="86" s="1"/>
  <c r="A11" i="86" s="1"/>
  <c r="B11" i="86" s="1"/>
  <c r="D11" i="86" s="1"/>
  <c r="E11" i="86" s="1"/>
  <c r="F11" i="86" s="1"/>
  <c r="H11" i="86" s="1"/>
  <c r="I11" i="86" s="1"/>
  <c r="J11" i="86" s="1"/>
  <c r="K11" i="86" s="1"/>
  <c r="B16" i="85" l="1"/>
  <c r="D16" i="85" s="1"/>
  <c r="E16" i="85" s="1"/>
  <c r="F16" i="85" s="1"/>
  <c r="H16" i="85" s="1"/>
  <c r="I16" i="85" s="1"/>
  <c r="J16" i="85" s="1"/>
  <c r="K16" i="85" s="1"/>
  <c r="A18" i="85" s="1"/>
  <c r="B18" i="85" s="1"/>
  <c r="D18" i="85" s="1"/>
  <c r="E18" i="85" s="1"/>
  <c r="F18" i="85" s="1"/>
  <c r="H18" i="85" s="1"/>
  <c r="I18" i="85" s="1"/>
  <c r="J18" i="85" s="1"/>
  <c r="K18" i="85" s="1"/>
  <c r="A20" i="85" s="1"/>
  <c r="B20" i="85" s="1"/>
  <c r="D20" i="85" s="1"/>
  <c r="E20" i="85" s="1"/>
  <c r="F20" i="85" s="1"/>
  <c r="H20" i="85" s="1"/>
  <c r="I20" i="85" s="1"/>
  <c r="J20" i="85" s="1"/>
  <c r="K20" i="85" s="1"/>
  <c r="A22" i="85" s="1"/>
  <c r="B22" i="85" s="1"/>
  <c r="D22" i="85" s="1"/>
  <c r="E22" i="85" s="1"/>
  <c r="F22" i="85" s="1"/>
  <c r="H22" i="85" s="1"/>
  <c r="I22" i="85" s="1"/>
  <c r="J22" i="85" s="1"/>
  <c r="K22" i="85" s="1"/>
  <c r="A24" i="85" s="1"/>
  <c r="B24" i="85" s="1"/>
  <c r="D24" i="85" s="1"/>
  <c r="E24" i="85" s="1"/>
  <c r="F24" i="85" s="1"/>
  <c r="H24" i="85" s="1"/>
  <c r="I24" i="85" s="1"/>
  <c r="J24" i="85" s="1"/>
  <c r="K24" i="85" s="1"/>
  <c r="B3" i="85" l="1"/>
  <c r="D3" i="85" s="1"/>
  <c r="E3" i="85" s="1"/>
  <c r="F3" i="85" s="1"/>
  <c r="H3" i="85" s="1"/>
  <c r="I3" i="85" s="1"/>
  <c r="J3" i="85" s="1"/>
  <c r="K3" i="85" s="1"/>
  <c r="A5" i="85" s="1"/>
  <c r="B5" i="85" s="1"/>
  <c r="D5" i="85" s="1"/>
  <c r="E5" i="85" s="1"/>
  <c r="F5" i="85" s="1"/>
  <c r="H5" i="85" s="1"/>
  <c r="I5" i="85" s="1"/>
  <c r="J5" i="85" s="1"/>
  <c r="K5" i="85" s="1"/>
  <c r="A7" i="85" s="1"/>
  <c r="B7" i="85" s="1"/>
  <c r="D7" i="85" s="1"/>
  <c r="E7" i="85" s="1"/>
  <c r="F7" i="85" s="1"/>
  <c r="H7" i="85" s="1"/>
  <c r="I7" i="85" s="1"/>
  <c r="J7" i="85" s="1"/>
  <c r="K7" i="85" s="1"/>
  <c r="A9" i="85" s="1"/>
  <c r="B9" i="85" s="1"/>
  <c r="D9" i="85" s="1"/>
  <c r="E9" i="85" s="1"/>
  <c r="F9" i="85" s="1"/>
  <c r="H9" i="85" s="1"/>
  <c r="I9" i="85" s="1"/>
  <c r="J9" i="85" s="1"/>
  <c r="K9" i="85" s="1"/>
  <c r="A11" i="85" s="1"/>
  <c r="B11" i="85" s="1"/>
  <c r="D11" i="85" s="1"/>
  <c r="E11" i="85" s="1"/>
  <c r="F11" i="85" s="1"/>
  <c r="H11" i="85" s="1"/>
  <c r="I11" i="85" s="1"/>
  <c r="J11" i="85" s="1"/>
  <c r="K11" i="85" s="1"/>
</calcChain>
</file>

<file path=xl/sharedStrings.xml><?xml version="1.0" encoding="utf-8"?>
<sst xmlns="http://schemas.openxmlformats.org/spreadsheetml/2006/main" count="1089" uniqueCount="279">
  <si>
    <t>Unit:</t>
  </si>
  <si>
    <t>Found</t>
  </si>
  <si>
    <t>Objective</t>
  </si>
  <si>
    <t>Grade</t>
  </si>
  <si>
    <t>High</t>
  </si>
  <si>
    <t>Strand:</t>
  </si>
  <si>
    <t>Problem solving and context:</t>
  </si>
  <si>
    <t>Indices</t>
  </si>
  <si>
    <t>Surds</t>
  </si>
  <si>
    <t>Ratio &amp; Proportion 3</t>
  </si>
  <si>
    <t>Transformations</t>
  </si>
  <si>
    <t>Vectors</t>
  </si>
  <si>
    <t>Basic Probability</t>
  </si>
  <si>
    <t>Year 10</t>
  </si>
  <si>
    <t>Year 11</t>
  </si>
  <si>
    <t>Measures</t>
  </si>
  <si>
    <t>Equation of a circle</t>
  </si>
  <si>
    <t>.</t>
  </si>
  <si>
    <t>Scheme of Work</t>
  </si>
  <si>
    <t>2017- GCSE</t>
  </si>
  <si>
    <t>Angles, scale diagrams and bearings</t>
  </si>
  <si>
    <t>Basic number, factors and multiples</t>
  </si>
  <si>
    <t>Fractions and decimals</t>
  </si>
  <si>
    <t>Coordinates and linear graphs</t>
  </si>
  <si>
    <t>Rounding</t>
  </si>
  <si>
    <t>Collecting and representing data</t>
  </si>
  <si>
    <t>Sequences</t>
  </si>
  <si>
    <t>Basic percentages</t>
  </si>
  <si>
    <t>Perimeter and area</t>
  </si>
  <si>
    <t>Circumference and area</t>
  </si>
  <si>
    <t>Real life graphs</t>
  </si>
  <si>
    <t>Ratio and proportion</t>
  </si>
  <si>
    <t>Equations</t>
  </si>
  <si>
    <t>Basic probability</t>
  </si>
  <si>
    <t>Standard form</t>
  </si>
  <si>
    <t>2D representations of 3D shapes</t>
  </si>
  <si>
    <t>Calculating with percentages</t>
  </si>
  <si>
    <t>Statistical measures</t>
  </si>
  <si>
    <t>Probability</t>
  </si>
  <si>
    <t>Volume</t>
  </si>
  <si>
    <t>Quadratics, rearranging formulae and identities</t>
  </si>
  <si>
    <t>Numerical methods</t>
  </si>
  <si>
    <t>Further equations and graphs</t>
  </si>
  <si>
    <t>Simultaneous equations</t>
  </si>
  <si>
    <t>Sketching graphs</t>
  </si>
  <si>
    <t>Direct and inverse proportion</t>
  </si>
  <si>
    <t>Inequalities</t>
  </si>
  <si>
    <t>Growth and decay</t>
  </si>
  <si>
    <t>Transforming functions</t>
  </si>
  <si>
    <t>Sine and cosine rules</t>
  </si>
  <si>
    <t>Circle theorems</t>
  </si>
  <si>
    <t>Gradients and rate of change</t>
  </si>
  <si>
    <t>Pre-calculus and area under a curve</t>
  </si>
  <si>
    <t>Algebraic fractions</t>
  </si>
  <si>
    <t>Use the standard conventions for labellng and referring to the sides and anglres of triangles</t>
  </si>
  <si>
    <t>Use conventional terms and notations: points, lines, vertices, edges, planes, parallel lines, perpendicular lines, right angles, polygons, regular polygons and polygons with reflection and/or rotation symmetries</t>
  </si>
  <si>
    <t>Draw diagrams from written descriptions</t>
  </si>
  <si>
    <t>Apply the properties of: angles at a point, angles at a point on a straight line, vertically opposite angles</t>
  </si>
  <si>
    <t>Understand and use alternate and corresponding angles on parallel lines</t>
  </si>
  <si>
    <t>Use scale factors, scale diagrams and maps</t>
  </si>
  <si>
    <t>Measure line segments and angles in geometric figures, including interpreting maps and scale drawing and use of bearings</t>
  </si>
  <si>
    <t>Order positive and negative numbers</t>
  </si>
  <si>
    <r>
      <t xml:space="preserve">Use the symbols </t>
    </r>
    <r>
      <rPr>
        <b/>
        <sz val="11"/>
        <color theme="1"/>
        <rFont val="Calibri"/>
        <family val="2"/>
      </rPr>
      <t>=, ≠, &lt;, &gt;, ≤, ≥</t>
    </r>
  </si>
  <si>
    <t>Apply the four operations, including formal written methods, to integers – both positive and negative</t>
  </si>
  <si>
    <t>Understand and use place value (e.g. when working with very large or very small numbers, and when calculating with decimals)</t>
  </si>
  <si>
    <t>Recognise and use relationships between operations including inverse operations (e.g. cancellation to simplify calculations and expressions)</t>
  </si>
  <si>
    <t>Estimate answers</t>
  </si>
  <si>
    <t>Check calculations using approximation and estimation, including answers obtained using technology</t>
  </si>
  <si>
    <t>Use the concepts and vocabulary of prime numbers, factors (divisors), multiples, common factors, common multiples, highest common factor, lowest common multiple, prime factorisation, including using product notation, and the unique factorisation theorem</t>
  </si>
  <si>
    <t>Apply systematic listing strategies and the use of the product rule for counting</t>
  </si>
  <si>
    <t>Coefficients written as fractions rather than as decimals</t>
  </si>
  <si>
    <t>brackets</t>
  </si>
  <si>
    <t>Use conventional notation for priority of operations, including brackets, powers, roots and reciprocals</t>
  </si>
  <si>
    <t>understand and use the concepts and vocabulary of expressions, equations, formulae, identities, inequalities, terms and factors</t>
  </si>
  <si>
    <t>Order positive and negative decimals and fractions</t>
  </si>
  <si>
    <t>Apply the four operations, including formal written methods, to simple fractions (proper and improper) and mixed numbers - both positive and negative</t>
  </si>
  <si>
    <t>Apply the four operations, including formal written methods, to decimals – both positive and negative</t>
  </si>
  <si>
    <t>Calculate exactly with fractions</t>
  </si>
  <si>
    <t>Work interchangeably with terminating decimals and their corresponding fractions (such as 3.5 and 72 or 0.375 and 38) including ordering</t>
  </si>
  <si>
    <t>Change recurring decimals into their corresponding fractions and vice versa</t>
  </si>
  <si>
    <t>Angles, scale diagrams and bearing</t>
  </si>
  <si>
    <t>Basic algebra review</t>
  </si>
  <si>
    <t>Work with coordinates in all four quadrants</t>
  </si>
  <si>
    <t>Solve geometrical problems on coordinate axes</t>
  </si>
  <si>
    <t>Plot graphs of equations that correspond to straight line graphs in the coordinate plane</t>
  </si>
  <si>
    <t>Use the form y=mx+c to identify parallel and perpendicular lines</t>
  </si>
  <si>
    <t>Find the equations of the line through two given points, or through one point with a given gradient</t>
  </si>
  <si>
    <t>Identify and interpret gradients and intercepts of linear functions graphically and algebraically</t>
  </si>
  <si>
    <t>Round numbers and measures to an appropriate degree of accuracy (e.g. to a specified number of decimal places or significant figures)</t>
  </si>
  <si>
    <t>Use inequality notation to specify simple error intervals due to truncation or rounding</t>
  </si>
  <si>
    <t>Apply and interpret limits of accuracy including upper and lower bounds</t>
  </si>
  <si>
    <t>Interpret, analyse and compare distributions of data sets from univariate empirical distributions through appropriate graphical representation involving discrete, continuous and grouped data, including boxplots</t>
  </si>
  <si>
    <t>Construct and interpret diagrams for grouped discrete data and continuous data, i.e. histograms with equal and unequal class intervals and cumulative frequency graphs, and know their appropriate use</t>
  </si>
  <si>
    <t>Generate terms of a sequence from either a term-to-term or a position-to-term rule</t>
  </si>
  <si>
    <t>Deduce expressions to calculate the nth term of linear and quadratic sequences</t>
  </si>
  <si>
    <t>Define percentage as 'number of parts per hundred'</t>
  </si>
  <si>
    <t>Interpret percentages and percentage changes as a fraction or decimal and interpret these multiplicatively</t>
  </si>
  <si>
    <t>Express one quantity as a percentage of another</t>
  </si>
  <si>
    <t>Compare two quantities using percentages</t>
  </si>
  <si>
    <t>Work with percentages greater than 100%</t>
  </si>
  <si>
    <t>Interpret fractions and percentages as operators</t>
  </si>
  <si>
    <t>Identify properties of the faces, surfaces, edges and vertices of: cubes, cuboids, prisms, cylinders, pyramids, cones and spheres</t>
  </si>
  <si>
    <t>Calculate the perimeter of a 2D shapes and composite shapes</t>
  </si>
  <si>
    <t>Find the surface area of pyramids composite shapes</t>
  </si>
  <si>
    <t>Identify and apply circle definitions and properties, including: centre, radius, chord, diameter, circumference, tangent, arc, sector and segment</t>
  </si>
  <si>
    <t>Calculate the perimeters of 2D shapes including circles and composite shapes</t>
  </si>
  <si>
    <t>Calculate areas of circles and composite shapes</t>
  </si>
  <si>
    <t>Calculate surface area of spheres, cones and composite solids</t>
  </si>
  <si>
    <t>Calculate arc lengths, angles and areas of sectors and circles</t>
  </si>
  <si>
    <t>Plot and interpret graphs (including reciprocal graphs and exponetial graphs) and graphs of non-standard functions in real contexts, to find approximate solutions to problems such as simple kinematic problems involving distance, speed and acceleration</t>
  </si>
  <si>
    <t>Interpret the gradient of a straight-line graph as a rate of change</t>
  </si>
  <si>
    <t>Ratio and proportion 1</t>
  </si>
  <si>
    <t>Identify and work with fractions in ratio problems</t>
  </si>
  <si>
    <t>Express one quantity as a fraction of another, where the fraction is less than 1 or greater than 1</t>
  </si>
  <si>
    <t>Use ratio notation, including reduction to simplest form</t>
  </si>
  <si>
    <t>Divide a given quantity into two parts in a given part:part or part:whole ratio</t>
  </si>
  <si>
    <t>Express the division of a quantity into two parts as a ratio</t>
  </si>
  <si>
    <t>Apply ratio to real contexts and problems (such as those involving conversion, comparison, scaling, mixing and concentrations)</t>
  </si>
  <si>
    <t>Express a multiplicative relationship between two quantities as a ratio or fraction</t>
  </si>
  <si>
    <t>Understand and use proportion as equality of ratios</t>
  </si>
  <si>
    <t>Properties of polygons</t>
  </si>
  <si>
    <t>Derive and use the sum of angles in a triangle (e.g. to deduce and use the angle sum in any polygon, and to derive properties of regular polygons)</t>
  </si>
  <si>
    <t>Substitute numerical values into formulae and expressions, including scientific formulae</t>
  </si>
  <si>
    <t>Solve linear equations in one unknown algebraically including those with the unknown on both sides of the equation</t>
  </si>
  <si>
    <t>Use positive integer powers and associated real roots (square, cube and higher)</t>
  </si>
  <si>
    <t>Recognise powers of 2, 3, 4, 5</t>
  </si>
  <si>
    <t>Estimate powers and roots of any given positive number</t>
  </si>
  <si>
    <t>Calculate with roots, and with integer and fractional indices</t>
  </si>
  <si>
    <t>Calculate exactly with surds</t>
  </si>
  <si>
    <t>Simplify surd expressions involving squares and rationalise denominators</t>
  </si>
  <si>
    <t>Recognise and use simple geometric progressions</t>
  </si>
  <si>
    <t>Record, describe and analyse the frequency of outcomes of probability experiments using tables and frequency trees</t>
  </si>
  <si>
    <t>Apply the property that the probabilities of an exhaustive set of outcomes sum to 1</t>
  </si>
  <si>
    <t>Apply the property that the probabilities of an exhaustive set of mutually exclusive events sum to 1</t>
  </si>
  <si>
    <t>Construct theoretical possibility spaces for single and combined experiments with equally likely outcomes and use these to calculate theoretical probabilities</t>
  </si>
  <si>
    <t>Understand and use place value (e.g. when working with very large or very small numbers)</t>
  </si>
  <si>
    <r>
      <t xml:space="preserve">Calculate with and interpret standard form A x 10n where 1 </t>
    </r>
    <r>
      <rPr>
        <b/>
        <sz val="11"/>
        <color theme="1"/>
        <rFont val="Calibri"/>
        <family val="2"/>
      </rPr>
      <t>≤ a &lt; 10 and n is an integer</t>
    </r>
  </si>
  <si>
    <t>Use standard units of measure and related concepts (length, area, volume / capacity, mass, time, money etc)</t>
  </si>
  <si>
    <t>Use standard units of mass, length, time, money and other measures (including standard compound measures) using decimal quantities where appropriate</t>
  </si>
  <si>
    <t>Change freely between related standard units (e.g. time, length, area, volume / capacity, mass) and compound units (e.g. speed, rates of pay, prices, density, pressure) in numerical and algebraic contexts</t>
  </si>
  <si>
    <t>Use compound units such as speed, rates of pay, unit pricing, density and pressure</t>
  </si>
  <si>
    <t>Identify, describe and construct congruent and similar shapes, including on co-ordinate axes, by considering rotation, reflection, translation and enlargement (including fractional and negative scale factors)</t>
  </si>
  <si>
    <t>Describe translations as 2D vectors</t>
  </si>
  <si>
    <t>Describe the changes and invariance achieved by combinations of rotations, reflections and translations </t>
  </si>
  <si>
    <t>Congruence and similarity</t>
  </si>
  <si>
    <t>Use the basic congruence criteria for triangles (SSS, SAS, ASA, RHS)</t>
  </si>
  <si>
    <t>Apply angle facts, triangle congruence, similarity and properties of quadrilaterals to conjecture and derive results about angles and sides including the base angles of an isosceles triangle are equal, and use known results to obtain simple proofs</t>
  </si>
  <si>
    <t>Apply and use the concepts of congruence and similarity, including the relationships between lengths, areas and volumes in similar figures</t>
  </si>
  <si>
    <t>Construct and interpret plans and elevations of 3D shapes</t>
  </si>
  <si>
    <t>Summer term</t>
  </si>
  <si>
    <t>Solve problems involving percentage change including:
percentage increase/decrease problems
original value problems
simple interest, including in financial mathematics</t>
  </si>
  <si>
    <t>Apply statistics to describe a population</t>
  </si>
  <si>
    <t>Infer properties of populations or distributions from a sample, whilst knowing the limitations of sampling</t>
  </si>
  <si>
    <t>Constructions and loci</t>
  </si>
  <si>
    <t>Know that the perpendicular distance from a point to a line is the shortest distance to the line</t>
  </si>
  <si>
    <t>Use these to construct given figures and solve loci problems</t>
  </si>
  <si>
    <t>Apply ideas of randomness, fairness and equally likely events to calculate expected outcomes or multiple future experiments</t>
  </si>
  <si>
    <t>Relate relative expected frequencies to theoretical probability, using appropriate language and the 0 – 1 probability scale</t>
  </si>
  <si>
    <t>Understand that empirical unbiased samples tend towards theoretical probability distributions with increasing sample size</t>
  </si>
  <si>
    <t>Enumerate sets and combinations of sets systematically, using tables, grids, Venn diagrams and tree diagrams</t>
  </si>
  <si>
    <t>Calculate the probability of independent and dependent combined events, including using tree diagrams and other representations, and know the underlying assumptions</t>
  </si>
  <si>
    <t>Calculate and interpret conditional probabilities through representation using expected frequencies with two-way tables, tree diagrams and Venn diagrams</t>
  </si>
  <si>
    <t>Compare lengths, areas and volumes using ratio notation</t>
  </si>
  <si>
    <t>Scale factors</t>
  </si>
  <si>
    <t>Know and apply the formulae to calculate the volume of cuboids and other right prisms (including cylinders)</t>
  </si>
  <si>
    <t>Calculate the volume of spheres, pyramids, cones and composite solids</t>
  </si>
  <si>
    <t>Calculate exactly with multiples of π</t>
  </si>
  <si>
    <t>Make links to similarity </t>
  </si>
  <si>
    <t>Understand and use standard mathematical formulae</t>
  </si>
  <si>
    <t>Rearrange formulae to change the subject</t>
  </si>
  <si>
    <t>Know the difference between an equation and an identity</t>
  </si>
  <si>
    <t>Argue mathematically to show algebraic expressions are equivalent, and use algebra to support and construct arguments and proofs</t>
  </si>
  <si>
    <t>Where appropriate, interpret simple expressions as functions with inputs and outputs</t>
  </si>
  <si>
    <t>Interpret the reverse process as the ‘inverse function’</t>
  </si>
  <si>
    <t>Interpret the succession of two functions as a ‘composite function’</t>
  </si>
  <si>
    <t>Scatter graphs</t>
  </si>
  <si>
    <t>Use and interpret scatter graphs of bivariate data</t>
  </si>
  <si>
    <t>Recognise correlation and know that it does not indicate causation</t>
  </si>
  <si>
    <t>Draw estimated lines of best fit</t>
  </si>
  <si>
    <t>Make predictions</t>
  </si>
  <si>
    <t>Interpolate and extrapolate apparent trends whilst knowing the dangers of doing so</t>
  </si>
  <si>
    <t>Find approximate solutions to equations numerically using iteration</t>
  </si>
  <si>
    <t>Recognise and use the equation of a circle with centre at the origin</t>
  </si>
  <si>
    <t>Find the equation of a tangent to a circle at a given point.</t>
  </si>
  <si>
    <t>Find approximate solutions using a graph</t>
  </si>
  <si>
    <t>Solve quadratic equations (including those that require rearrangement) algebraically by factorising, by completing the square and by using the quadratic formula</t>
  </si>
  <si>
    <t>Recognise, sketch and interpret graphs of linear and quadratic functions</t>
  </si>
  <si>
    <t>derive an equation, solve the equation and interpret the solution</t>
  </si>
  <si>
    <t>Translate simple situations or procedures into algebraic expressions or formulae</t>
  </si>
  <si>
    <t>Identify and interpret roots, intercepts and turning points of quadratic functions graphically; deduce roots algebraically and turning points by completing the square</t>
  </si>
  <si>
    <t>Solve two simultaneous equations in two variables (linear / linear or linear/quadratic) algebraically</t>
  </si>
  <si>
    <t>Derive two simultaneous equations</t>
  </si>
  <si>
    <t>Solve the equations and interpret the solution</t>
  </si>
  <si>
    <r>
      <t>Recognise, sketch and interpret graphs of linear functions, quadratic functions, simple cubic functions and the reciprocal function y=1/x with x</t>
    </r>
    <r>
      <rPr>
        <b/>
        <sz val="11"/>
        <color theme="1"/>
        <rFont val="Calibri"/>
        <family val="2"/>
      </rPr>
      <t>≠ 0, exponential functions y=kx for positive values of k, and the trig functions (with arguments in degrees) y=sin x, y=cos x and y=tan x for angles of any size</t>
    </r>
  </si>
  <si>
    <t>Solve problems involving direct and inverse proportion, including graphical and algebraic representations</t>
  </si>
  <si>
    <t>Understand that x is inversely proportional to y is equivalent to x is proportional to 1/y</t>
  </si>
  <si>
    <t>Recognise and interpret graphs that illustrate direct and inverse proportion</t>
  </si>
  <si>
    <t>Solve linear inequalities in one or two variables and quadratic inequalities in one variable</t>
  </si>
  <si>
    <t>Represent the solution set on a number line, using set notation and on a graph</t>
  </si>
  <si>
    <t>Pythagoras theorem and basic trigonometry</t>
  </si>
  <si>
    <t>Apply it to find angles and lengths in right angled triangles and, where possible, general triangles in two and three dimensional figures</t>
  </si>
  <si>
    <t>Know and use the trigonometric ratios</t>
  </si>
  <si>
    <t>Apply angle facts, triangle congruence, similarity and properties of quadrilaterals to conjecture and derive results about angles and sides including Pythagoras’ Theorem and use known results to obtain simple proofs</t>
  </si>
  <si>
    <t>Compare lengths using ratio notation; make links to trigonometric ratios</t>
  </si>
  <si>
    <t>Apply addition and subtraction of vectors, multiplication of vectors by a scalar, and diagrammatic and column representation of vectors</t>
  </si>
  <si>
    <t>Use vectors to construct geometric arguments and proofs</t>
  </si>
  <si>
    <t>Sketch translations and reflections of a given function</t>
  </si>
  <si>
    <t>Know and apply the sine rule and cosine rule to find unknown lengths and angles</t>
  </si>
  <si>
    <t>Kown and apply 1/2 absin C to calculate the area, sides or angles of any triangle</t>
  </si>
  <si>
    <t>Apply and prove the standard circle theorems concerning angles, radii, tangents and chords and use them to prove related results</t>
  </si>
  <si>
    <t>Interpret the gradient at a point on a curve as the instantaneous rate of change</t>
  </si>
  <si>
    <t>Apply the concepts of average and instantaneous rates of change (gradients of chords and tangents) in numerical, algebraic and graphical contexts</t>
  </si>
  <si>
    <t>Calculate or estimate gradients of graphs and areas under graphs (including quadratic and other non-linear graphs)</t>
  </si>
  <si>
    <t>Interpret the results in cases such as distance-time graphs, velocity-time graphs and graphs in financial contexts</t>
  </si>
  <si>
    <t>Simplify and manipulate algebraic expressions involving algebraic fractions</t>
  </si>
  <si>
    <t>Understand and use place value (e.g. when calculating with decimals)</t>
  </si>
  <si>
    <t>Simplify and manipulate algebra (including those involving surds) by:
• collecting like terms
• multiplying a single term over a bracket
• taking out common factors</t>
  </si>
  <si>
    <t>Use and interpret algebraic notation including:
• 3y in place of y+y+y and 3 × y
• a 2 in place of a × a
• a3 in place of a × a × a
• a2b in place of a × a × b
• a/b in place of a ÷ b</t>
  </si>
  <si>
    <r>
      <t xml:space="preserve">ab in place of a </t>
    </r>
    <r>
      <rPr>
        <b/>
        <sz val="11"/>
        <color theme="1"/>
        <rFont val="Calibri"/>
        <family val="2"/>
      </rPr>
      <t>×</t>
    </r>
    <r>
      <rPr>
        <b/>
        <sz val="11"/>
        <color theme="1"/>
        <rFont val="Calibri"/>
        <family val="2"/>
        <scheme val="minor"/>
      </rPr>
      <t xml:space="preserve"> b</t>
    </r>
  </si>
  <si>
    <t>Simplify and manipulate algebraic expressions (including those involving surds) by:
• expanding products of two or more binomials
• factorising quadratic expressions of the form x2 + bx + c
• including the difference of two squares
• simplifying expressions involving sums, products and powers, including the laws of indices</t>
  </si>
  <si>
    <r>
      <t xml:space="preserve">Know the exact values of sin </t>
    </r>
    <r>
      <rPr>
        <b/>
        <sz val="11"/>
        <color theme="1"/>
        <rFont val="Calibri"/>
        <family val="2"/>
      </rPr>
      <t>θ</t>
    </r>
    <r>
      <rPr>
        <b/>
        <sz val="11"/>
        <color theme="1"/>
        <rFont val="Calibri"/>
        <family val="2"/>
        <scheme val="minor"/>
      </rPr>
      <t xml:space="preserve"> and cos </t>
    </r>
    <r>
      <rPr>
        <b/>
        <sz val="11"/>
        <color theme="1"/>
        <rFont val="Calibri"/>
        <family val="2"/>
      </rPr>
      <t>θ</t>
    </r>
    <r>
      <rPr>
        <b/>
        <sz val="11"/>
        <color theme="1"/>
        <rFont val="Calibri"/>
        <family val="2"/>
        <scheme val="minor"/>
      </rPr>
      <t xml:space="preserve"> for 0</t>
    </r>
    <r>
      <rPr>
        <b/>
        <vertAlign val="superscript"/>
        <sz val="11"/>
        <color theme="1"/>
        <rFont val="Calibri"/>
        <family val="2"/>
        <scheme val="minor"/>
      </rPr>
      <t>0</t>
    </r>
    <r>
      <rPr>
        <b/>
        <sz val="11"/>
        <color theme="1"/>
        <rFont val="Calibri"/>
        <family val="2"/>
        <scheme val="minor"/>
      </rPr>
      <t>, 30</t>
    </r>
    <r>
      <rPr>
        <b/>
        <vertAlign val="superscript"/>
        <sz val="11"/>
        <color theme="1"/>
        <rFont val="Calibri"/>
        <family val="2"/>
        <scheme val="minor"/>
      </rPr>
      <t>0</t>
    </r>
    <r>
      <rPr>
        <b/>
        <sz val="11"/>
        <color theme="1"/>
        <rFont val="Calibri"/>
        <family val="2"/>
        <scheme val="minor"/>
      </rPr>
      <t>, 45</t>
    </r>
    <r>
      <rPr>
        <b/>
        <vertAlign val="superscript"/>
        <sz val="11"/>
        <color theme="1"/>
        <rFont val="Calibri"/>
        <family val="2"/>
        <scheme val="minor"/>
      </rPr>
      <t>0</t>
    </r>
    <r>
      <rPr>
        <b/>
        <sz val="11"/>
        <color theme="1"/>
        <rFont val="Calibri"/>
        <family val="2"/>
        <scheme val="minor"/>
      </rPr>
      <t>, 60</t>
    </r>
    <r>
      <rPr>
        <b/>
        <vertAlign val="superscript"/>
        <sz val="11"/>
        <color theme="1"/>
        <rFont val="Calibri"/>
        <family val="2"/>
        <scheme val="minor"/>
      </rPr>
      <t>0</t>
    </r>
    <r>
      <rPr>
        <b/>
        <sz val="11"/>
        <color theme="1"/>
        <rFont val="Calibri"/>
        <family val="2"/>
        <scheme val="minor"/>
      </rPr>
      <t xml:space="preserve"> and 90</t>
    </r>
    <r>
      <rPr>
        <b/>
        <vertAlign val="superscript"/>
        <sz val="11"/>
        <color theme="1"/>
        <rFont val="Calibri"/>
        <family val="2"/>
        <scheme val="minor"/>
      </rPr>
      <t>0</t>
    </r>
  </si>
  <si>
    <r>
      <t xml:space="preserve">Know the exact value of tan </t>
    </r>
    <r>
      <rPr>
        <b/>
        <sz val="11"/>
        <color theme="1"/>
        <rFont val="Calibri"/>
        <family val="2"/>
      </rPr>
      <t>θ</t>
    </r>
    <r>
      <rPr>
        <b/>
        <sz val="11"/>
        <color theme="1"/>
        <rFont val="Calibri"/>
        <family val="2"/>
        <scheme val="minor"/>
      </rPr>
      <t xml:space="preserve"> for 0</t>
    </r>
    <r>
      <rPr>
        <b/>
        <vertAlign val="superscript"/>
        <sz val="11"/>
        <color theme="1"/>
        <rFont val="Calibri"/>
        <family val="2"/>
        <scheme val="minor"/>
      </rPr>
      <t>0</t>
    </r>
    <r>
      <rPr>
        <b/>
        <sz val="11"/>
        <color theme="1"/>
        <rFont val="Calibri"/>
        <family val="2"/>
        <scheme val="minor"/>
      </rPr>
      <t>, 30</t>
    </r>
    <r>
      <rPr>
        <b/>
        <vertAlign val="superscript"/>
        <sz val="11"/>
        <color theme="1"/>
        <rFont val="Calibri"/>
        <family val="2"/>
        <scheme val="minor"/>
      </rPr>
      <t>0</t>
    </r>
    <r>
      <rPr>
        <b/>
        <sz val="11"/>
        <color theme="1"/>
        <rFont val="Calibri"/>
        <family val="2"/>
        <scheme val="minor"/>
      </rPr>
      <t>, 45</t>
    </r>
    <r>
      <rPr>
        <b/>
        <vertAlign val="superscript"/>
        <sz val="11"/>
        <color theme="1"/>
        <rFont val="Calibri"/>
        <family val="2"/>
        <scheme val="minor"/>
      </rPr>
      <t>0</t>
    </r>
    <r>
      <rPr>
        <b/>
        <sz val="11"/>
        <color theme="1"/>
        <rFont val="Calibri"/>
        <family val="2"/>
        <scheme val="minor"/>
      </rPr>
      <t xml:space="preserve"> and 60</t>
    </r>
    <r>
      <rPr>
        <b/>
        <vertAlign val="superscript"/>
        <sz val="11"/>
        <color theme="1"/>
        <rFont val="Calibri"/>
        <family val="2"/>
        <scheme val="minor"/>
      </rPr>
      <t>0</t>
    </r>
  </si>
  <si>
    <t>Angles</t>
  </si>
  <si>
    <t>Basic number</t>
  </si>
  <si>
    <t>Factors and multiples</t>
  </si>
  <si>
    <t>Basic algebra</t>
  </si>
  <si>
    <t>Basic fractions</t>
  </si>
  <si>
    <t>Basic decimals</t>
  </si>
  <si>
    <t>Pythagoras' theorem</t>
  </si>
  <si>
    <t>Algebra and graphs (1)</t>
  </si>
  <si>
    <t>Algebra and graphs (2)</t>
  </si>
  <si>
    <t>Trigonometry</t>
  </si>
  <si>
    <t>Solving quadratic equations</t>
  </si>
  <si>
    <t>Quadratic graphs</t>
  </si>
  <si>
    <t>F</t>
  </si>
  <si>
    <t>H</t>
  </si>
  <si>
    <t>Measure line segments and angles in geometric figures, including interpreting maps and scale drawings and use of bearings</t>
  </si>
  <si>
    <t>Apply systematic listing strategies</t>
  </si>
  <si>
    <t>Recognise and use:
• sequences of triangular, square and cube numbers
• simple arithmetic progression
• Fibonacci type sequences
• quadratic sequences
• simple geometric progression (Rn where n is an integer and R is a rational number &gt; 0)
• other sequences (higher only)</t>
  </si>
  <si>
    <t>Calculate the area of composite shapes</t>
  </si>
  <si>
    <r>
      <t xml:space="preserve">Calculate exactly with multiples of </t>
    </r>
    <r>
      <rPr>
        <b/>
        <sz val="11"/>
        <color theme="1"/>
        <rFont val="Calibri"/>
        <family val="2"/>
      </rPr>
      <t>∏</t>
    </r>
  </si>
  <si>
    <t>Use the standard ruler and compass constructions:
• perpendicular bisector of a line segment
• constructing a perpendicular to a given line from / at a given point
• bisecting a given angle</t>
  </si>
  <si>
    <t>Interpret and construct tables, charts and diagrams including, for categorical data:
• frequency tables
• bar charts
• pie charts
• pictograms
• vertical line charts for ungrouped discrete numerical data
• tables and line graphs for time series data
know their appropriate use</t>
  </si>
  <si>
    <t>Interpret, analyse and compare the distributions of data sets from univariate empirical distributions through:
• appropriate measures of central tendency (median, mean, mode and modal class)
• spread (range, including consideration of outliers, quartiles and inter-quartile range)</t>
  </si>
  <si>
    <t>Derive and applt the properties and definitions of:
• special types of quadrilaterals including square, rectangle,
parallelogram, trapezium, kite and rhombus
• and triangles and other plane figures using appropriate language</t>
  </si>
  <si>
    <r>
      <t>Know and use the formulae:
• Circumference of a circle = 2</t>
    </r>
    <r>
      <rPr>
        <b/>
        <sz val="11"/>
        <color theme="1"/>
        <rFont val="Calibri"/>
        <family val="2"/>
      </rPr>
      <t>∏r = ∏d
• Area of a circle = ∏r2</t>
    </r>
  </si>
  <si>
    <t>Know and apply formulae to calculate area of:
• Triangles
• Parallelograms
• Trapezia</t>
  </si>
  <si>
    <t>Solve linear inequalities in one variable</t>
  </si>
  <si>
    <t>Represent the solution set on a number line</t>
  </si>
  <si>
    <t>Apply it to find lengths in right angles triangles in two dimensional figures</t>
  </si>
  <si>
    <t>Recognise, sketch and interpret graphs of linear functions, quadratic functions, simple cubic functions and the reciprocal function y=1/x with x ≠ 0</t>
  </si>
  <si>
    <t>Construct (higher only) and interpret equations that describe direct and inverse proportion</t>
  </si>
  <si>
    <r>
      <t>Know the formula for Pythagoras' theorem a</t>
    </r>
    <r>
      <rPr>
        <b/>
        <vertAlign val="superscript"/>
        <sz val="11"/>
        <color theme="1"/>
        <rFont val="Calibri"/>
        <family val="2"/>
        <scheme val="minor"/>
      </rPr>
      <t>2</t>
    </r>
    <r>
      <rPr>
        <b/>
        <sz val="11"/>
        <color theme="1"/>
        <rFont val="Calibri"/>
        <family val="2"/>
        <scheme val="minor"/>
      </rPr>
      <t>+b</t>
    </r>
    <r>
      <rPr>
        <b/>
        <vertAlign val="superscript"/>
        <sz val="11"/>
        <color theme="1"/>
        <rFont val="Calibri"/>
        <family val="2"/>
        <scheme val="minor"/>
      </rPr>
      <t>2</t>
    </r>
    <r>
      <rPr>
        <b/>
        <sz val="11"/>
        <color theme="1"/>
        <rFont val="Calibri"/>
        <family val="2"/>
        <scheme val="minor"/>
      </rPr>
      <t>=c</t>
    </r>
    <r>
      <rPr>
        <b/>
        <vertAlign val="superscript"/>
        <sz val="11"/>
        <color theme="1"/>
        <rFont val="Calibri"/>
        <family val="2"/>
        <scheme val="minor"/>
      </rPr>
      <t>2</t>
    </r>
  </si>
  <si>
    <t>Solve quadratic equations algebraically by factorising</t>
  </si>
  <si>
    <t>Recognise, sketch and interpret graphs of quadratic functions</t>
  </si>
  <si>
    <t>Identify and interpret roots, intercepts and turning points of quadratic functions graphically</t>
  </si>
  <si>
    <t>Deduce roots algebraically</t>
  </si>
  <si>
    <t>Set up, solve and interpret the answers in growth and decay problems, including compound interest and work with general iterative processes (higher only)</t>
  </si>
  <si>
    <t>Half term</t>
  </si>
  <si>
    <t>Understand and use proportion as equality
 • Relate ratios to fractions and to linear functionsof ratios</t>
  </si>
  <si>
    <t>Scale factors and maps</t>
  </si>
  <si>
    <t>Exams and revision</t>
  </si>
  <si>
    <t>Christmas Holiday</t>
  </si>
  <si>
    <t>Easter</t>
  </si>
  <si>
    <t>Summer examinations and revision</t>
  </si>
  <si>
    <t>Statistical measures / constructions</t>
  </si>
  <si>
    <t>Higher SoL 2016-2017</t>
  </si>
  <si>
    <t>Algebra: quadratics, rearranging formulae and identities</t>
  </si>
  <si>
    <t>Pythagoras' theorem and basic trigonometry</t>
  </si>
  <si>
    <t>Gradients and rates of change</t>
  </si>
  <si>
    <t>Revision and exams</t>
  </si>
  <si>
    <t>Foundation SoL 2016-2017</t>
  </si>
  <si>
    <t>Scale diagrams and bearings</t>
  </si>
  <si>
    <t>Sketching quadratics</t>
  </si>
  <si>
    <t>Textbook ref.</t>
  </si>
  <si>
    <t>Foundation - P9</t>
  </si>
  <si>
    <t>Foundation - P15</t>
  </si>
  <si>
    <t>Foundation - P9-11</t>
  </si>
  <si>
    <t>F: 315 - 318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</si>
</sst>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b/>
      <sz val="11"/>
      <color theme="1"/>
      <name val="Calibri"/>
      <family val="2"/>
    </font>
    <font>
      <sz val="16"/>
      <color theme="1"/>
      <name val="Calibri"/>
      <family val="2"/>
      <scheme val="minor"/>
    </font>
    <font>
      <b/>
      <u/>
      <sz val="16"/>
      <color theme="1"/>
      <name val="Calibri"/>
      <family val="2"/>
      <scheme val="minor"/>
    </font>
    <font>
      <sz val="11"/>
      <color theme="0"/>
      <name val="Calibri"/>
      <family val="2"/>
      <scheme val="minor"/>
    </font>
    <font>
      <u/>
      <sz val="11"/>
      <color theme="10"/>
      <name val="Calibri"/>
      <family val="2"/>
      <scheme val="minor"/>
    </font>
    <font>
      <b/>
      <u/>
      <sz val="11"/>
      <color theme="10"/>
      <name val="Calibri"/>
      <family val="2"/>
      <scheme val="minor"/>
    </font>
    <font>
      <sz val="60"/>
      <color theme="1"/>
      <name val="Calibri"/>
      <family val="2"/>
      <scheme val="minor"/>
    </font>
    <font>
      <sz val="11"/>
      <name val="Calibri"/>
      <family val="2"/>
      <scheme val="minor"/>
    </font>
    <font>
      <b/>
      <vertAlign val="superscript"/>
      <sz val="11"/>
      <color theme="1"/>
      <name val="Calibri"/>
      <family val="2"/>
      <scheme val="minor"/>
    </font>
    <font>
      <b/>
      <sz val="20"/>
      <color theme="1"/>
      <name val="Calibri"/>
      <family val="2"/>
      <scheme val="minor"/>
    </font>
    <font>
      <b/>
      <sz val="12"/>
      <name val="Arial"/>
      <family val="2"/>
    </font>
    <font>
      <b/>
      <i/>
      <sz val="12"/>
      <name val="Arial"/>
      <family val="2"/>
    </font>
    <font>
      <sz val="12"/>
      <color theme="1"/>
      <name val="Arial"/>
      <family val="2"/>
    </font>
    <font>
      <b/>
      <i/>
      <sz val="11"/>
      <name val="Calibri"/>
      <family val="2"/>
      <scheme val="minor"/>
    </font>
    <font>
      <b/>
      <sz val="11"/>
      <name val="Calibri"/>
      <family val="2"/>
      <scheme val="minor"/>
    </font>
    <font>
      <b/>
      <i/>
      <sz val="12"/>
      <color theme="1"/>
      <name val="Arial"/>
      <family val="2"/>
    </font>
    <font>
      <b/>
      <u/>
      <sz val="24"/>
      <color theme="1"/>
      <name val="Arial"/>
      <family val="2"/>
    </font>
    <font>
      <b/>
      <sz val="12"/>
      <color theme="1"/>
      <name val="Arial"/>
      <family val="2"/>
    </font>
  </fonts>
  <fills count="12">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
      <gradientFill degree="45">
        <stop position="0">
          <color rgb="FFFFC000"/>
        </stop>
        <stop position="1">
          <color rgb="FF92D050"/>
        </stop>
      </gradient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style="medium">
        <color indexed="64"/>
      </left>
      <right/>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154">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49" fontId="1" fillId="2" borderId="1" xfId="0" applyNumberFormat="1" applyFont="1" applyFill="1" applyBorder="1" applyAlignment="1">
      <alignment horizontal="center" vertical="center" wrapText="1"/>
    </xf>
    <xf numFmtId="0" fontId="7" fillId="0" borderId="0" xfId="1" applyFont="1" applyAlignment="1">
      <alignment horizontal="center"/>
    </xf>
    <xf numFmtId="0" fontId="5" fillId="0" borderId="0" xfId="0" applyFont="1"/>
    <xf numFmtId="0" fontId="8" fillId="0" borderId="0" xfId="0" applyFont="1"/>
    <xf numFmtId="0" fontId="0" fillId="0" borderId="1" xfId="0" applyBorder="1" applyAlignment="1">
      <alignment horizontal="center" vertical="center" wrapText="1"/>
    </xf>
    <xf numFmtId="0" fontId="1" fillId="2" borderId="1" xfId="0" applyFont="1" applyFill="1" applyBorder="1" applyAlignment="1">
      <alignment horizontal="left" vertical="center"/>
    </xf>
    <xf numFmtId="0" fontId="0" fillId="0" borderId="1" xfId="0" applyBorder="1" applyAlignment="1">
      <alignment horizontal="center" wrapText="1"/>
    </xf>
    <xf numFmtId="0" fontId="1" fillId="2"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3" fillId="0" borderId="0" xfId="0" applyFont="1" applyAlignment="1">
      <alignment horizontal="right" vertical="center"/>
    </xf>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wrapText="1"/>
    </xf>
    <xf numFmtId="0" fontId="1" fillId="0" borderId="6" xfId="0" applyFont="1" applyBorder="1" applyAlignment="1">
      <alignment horizontal="left" vertical="center" wrapText="1"/>
    </xf>
    <xf numFmtId="0" fontId="1" fillId="0" borderId="6" xfId="0" applyFont="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1" fillId="0" borderId="1" xfId="0" applyFont="1" applyBorder="1" applyAlignment="1">
      <alignment horizontal="left" vertical="center" wrapText="1"/>
    </xf>
    <xf numFmtId="0" fontId="0" fillId="0" borderId="0" xfId="0" applyAlignment="1">
      <alignment wrapText="1"/>
    </xf>
    <xf numFmtId="0" fontId="0" fillId="0" borderId="0" xfId="0" applyAlignment="1">
      <alignment vertical="top" wrapText="1"/>
    </xf>
    <xf numFmtId="0" fontId="12" fillId="0" borderId="0" xfId="0" applyFont="1"/>
    <xf numFmtId="0" fontId="6" fillId="4" borderId="2" xfId="1" applyFill="1" applyBorder="1" applyAlignment="1">
      <alignment horizontal="center" vertical="center" wrapText="1"/>
    </xf>
    <xf numFmtId="0" fontId="6" fillId="4" borderId="15" xfId="1" applyFill="1" applyBorder="1" applyAlignment="1">
      <alignment horizontal="center" vertical="center" wrapText="1"/>
    </xf>
    <xf numFmtId="0" fontId="6" fillId="5" borderId="15" xfId="1" applyFill="1" applyBorder="1" applyAlignment="1">
      <alignment horizontal="center" vertical="center" wrapText="1"/>
    </xf>
    <xf numFmtId="0" fontId="6" fillId="7" borderId="15" xfId="1" applyFill="1" applyBorder="1" applyAlignment="1">
      <alignment horizontal="center" vertical="center"/>
    </xf>
    <xf numFmtId="0" fontId="6" fillId="5" borderId="4" xfId="1" applyFill="1" applyBorder="1" applyAlignment="1">
      <alignment horizontal="center" vertical="center" wrapText="1"/>
    </xf>
    <xf numFmtId="0" fontId="6" fillId="8" borderId="3" xfId="1" applyFill="1" applyBorder="1" applyAlignment="1">
      <alignment horizontal="center" vertical="center" wrapText="1"/>
    </xf>
    <xf numFmtId="0" fontId="6" fillId="8" borderId="15" xfId="1" quotePrefix="1" applyFill="1" applyBorder="1" applyAlignment="1">
      <alignment horizontal="center" vertical="center" wrapText="1"/>
    </xf>
    <xf numFmtId="0" fontId="6" fillId="8" borderId="15" xfId="1" applyFill="1" applyBorder="1" applyAlignment="1">
      <alignment horizontal="center" vertical="center" wrapText="1"/>
    </xf>
    <xf numFmtId="0" fontId="6" fillId="9" borderId="18" xfId="1" applyFill="1" applyBorder="1" applyAlignment="1">
      <alignment horizontal="center" vertical="center"/>
    </xf>
    <xf numFmtId="0" fontId="6" fillId="5" borderId="19" xfId="1" applyFill="1" applyBorder="1" applyAlignment="1">
      <alignment horizontal="center" vertical="center"/>
    </xf>
    <xf numFmtId="14" fontId="1" fillId="0" borderId="15" xfId="0" applyNumberFormat="1" applyFont="1" applyBorder="1" applyAlignment="1">
      <alignment horizontal="center" vertical="top"/>
    </xf>
    <xf numFmtId="14" fontId="1" fillId="0" borderId="11" xfId="0" applyNumberFormat="1" applyFont="1" applyBorder="1" applyAlignment="1">
      <alignment horizontal="center" vertical="top"/>
    </xf>
    <xf numFmtId="0" fontId="13" fillId="3" borderId="15" xfId="1" applyFont="1" applyFill="1" applyBorder="1" applyAlignment="1">
      <alignment horizontal="center" vertical="center" wrapText="1"/>
    </xf>
    <xf numFmtId="14" fontId="1" fillId="3" borderId="11" xfId="0" applyNumberFormat="1" applyFont="1" applyFill="1" applyBorder="1" applyAlignment="1">
      <alignment horizontal="center" vertical="top"/>
    </xf>
    <xf numFmtId="14" fontId="1" fillId="0" borderId="12" xfId="0" applyNumberFormat="1" applyFont="1" applyBorder="1" applyAlignment="1">
      <alignment horizontal="center" vertical="top"/>
    </xf>
    <xf numFmtId="14" fontId="1" fillId="0" borderId="13" xfId="0" applyNumberFormat="1" applyFont="1" applyBorder="1" applyAlignment="1">
      <alignment horizontal="center" vertical="top"/>
    </xf>
    <xf numFmtId="14" fontId="1" fillId="0" borderId="5" xfId="0" applyNumberFormat="1" applyFont="1" applyBorder="1" applyAlignment="1">
      <alignment horizontal="center" vertical="top"/>
    </xf>
    <xf numFmtId="14" fontId="1" fillId="0" borderId="9" xfId="0" applyNumberFormat="1" applyFont="1" applyBorder="1" applyAlignment="1">
      <alignment horizontal="center" vertical="top"/>
    </xf>
    <xf numFmtId="14" fontId="1" fillId="0" borderId="14" xfId="0" applyNumberFormat="1" applyFont="1" applyBorder="1" applyAlignment="1">
      <alignment horizontal="center" vertical="top"/>
    </xf>
    <xf numFmtId="14" fontId="16" fillId="3" borderId="25" xfId="0" applyNumberFormat="1" applyFont="1" applyFill="1" applyBorder="1" applyAlignment="1">
      <alignment horizontal="center" vertical="top"/>
    </xf>
    <xf numFmtId="14" fontId="16" fillId="3" borderId="24" xfId="0" applyNumberFormat="1" applyFont="1" applyFill="1" applyBorder="1" applyAlignment="1">
      <alignment horizontal="center" vertical="top"/>
    </xf>
    <xf numFmtId="14" fontId="1" fillId="0" borderId="8" xfId="0" applyNumberFormat="1" applyFont="1" applyBorder="1" applyAlignment="1">
      <alignment horizontal="center" vertical="top"/>
    </xf>
    <xf numFmtId="14" fontId="1" fillId="3" borderId="5" xfId="0" applyNumberFormat="1" applyFont="1" applyFill="1" applyBorder="1" applyAlignment="1">
      <alignment horizontal="center" vertical="top"/>
    </xf>
    <xf numFmtId="14" fontId="1" fillId="0" borderId="16" xfId="0" applyNumberFormat="1" applyFont="1" applyBorder="1" applyAlignment="1">
      <alignment horizontal="center" vertical="top"/>
    </xf>
    <xf numFmtId="0" fontId="13" fillId="3" borderId="2" xfId="0" applyFont="1" applyFill="1" applyBorder="1" applyAlignment="1">
      <alignment horizontal="center" vertical="center" wrapText="1"/>
    </xf>
    <xf numFmtId="14" fontId="1" fillId="0" borderId="28" xfId="0" applyNumberFormat="1" applyFont="1" applyBorder="1" applyAlignment="1">
      <alignment horizontal="center" vertical="center"/>
    </xf>
    <xf numFmtId="14" fontId="1" fillId="0" borderId="29" xfId="0" applyNumberFormat="1" applyFont="1" applyBorder="1" applyAlignment="1">
      <alignment horizontal="center" vertical="top"/>
    </xf>
    <xf numFmtId="14" fontId="1" fillId="3" borderId="10" xfId="0" applyNumberFormat="1" applyFont="1" applyFill="1" applyBorder="1" applyAlignment="1">
      <alignment horizontal="center" vertical="top"/>
    </xf>
    <xf numFmtId="14" fontId="1" fillId="0" borderId="10" xfId="0" applyNumberFormat="1" applyFont="1" applyBorder="1" applyAlignment="1">
      <alignment horizontal="center" vertical="top"/>
    </xf>
    <xf numFmtId="14" fontId="1" fillId="0" borderId="31" xfId="0" applyNumberFormat="1" applyFont="1" applyBorder="1" applyAlignment="1">
      <alignment horizontal="center" vertical="top"/>
    </xf>
    <xf numFmtId="14" fontId="1" fillId="0" borderId="32" xfId="0" applyNumberFormat="1" applyFont="1" applyBorder="1" applyAlignment="1">
      <alignment horizontal="center" vertical="top"/>
    </xf>
    <xf numFmtId="14" fontId="1" fillId="0" borderId="30" xfId="0" applyNumberFormat="1" applyFont="1" applyBorder="1" applyAlignment="1">
      <alignment horizontal="center" vertical="top"/>
    </xf>
    <xf numFmtId="14" fontId="1" fillId="0" borderId="28" xfId="0" applyNumberFormat="1" applyFont="1" applyBorder="1" applyAlignment="1">
      <alignment horizontal="center" vertical="top"/>
    </xf>
    <xf numFmtId="14" fontId="1" fillId="0" borderId="33" xfId="0" applyNumberFormat="1" applyFont="1" applyBorder="1" applyAlignment="1">
      <alignment horizontal="center" vertical="top"/>
    </xf>
    <xf numFmtId="0" fontId="6" fillId="5" borderId="2" xfId="1" applyFill="1" applyBorder="1" applyAlignment="1">
      <alignment horizontal="center" vertical="center" wrapText="1"/>
    </xf>
    <xf numFmtId="0" fontId="6" fillId="5" borderId="3" xfId="1" applyFill="1" applyBorder="1" applyAlignment="1">
      <alignment horizontal="center" vertical="center" wrapText="1"/>
    </xf>
    <xf numFmtId="0" fontId="6" fillId="8" borderId="2" xfId="1" applyFill="1" applyBorder="1" applyAlignment="1">
      <alignment horizontal="center" vertical="center"/>
    </xf>
    <xf numFmtId="0" fontId="6" fillId="7" borderId="2" xfId="1" applyFill="1" applyBorder="1" applyAlignment="1">
      <alignment horizontal="center" vertical="center" wrapText="1"/>
    </xf>
    <xf numFmtId="0" fontId="6" fillId="7" borderId="4" xfId="1" applyFill="1" applyBorder="1" applyAlignment="1">
      <alignment horizontal="center" vertical="center" wrapText="1"/>
    </xf>
    <xf numFmtId="0" fontId="6" fillId="9" borderId="15" xfId="1" applyFill="1" applyBorder="1" applyAlignment="1">
      <alignment horizontal="center" vertical="center" wrapText="1"/>
    </xf>
    <xf numFmtId="0" fontId="6" fillId="4" borderId="3" xfId="1" applyFill="1" applyBorder="1" applyAlignment="1">
      <alignment horizontal="center" vertical="center" wrapText="1"/>
    </xf>
    <xf numFmtId="0" fontId="6" fillId="7" borderId="15" xfId="1" applyFill="1" applyBorder="1" applyAlignment="1">
      <alignment horizontal="center" vertical="center" wrapText="1"/>
    </xf>
    <xf numFmtId="0" fontId="6" fillId="5" borderId="15" xfId="1" applyFill="1" applyBorder="1" applyAlignment="1">
      <alignment horizontal="center" vertical="center"/>
    </xf>
    <xf numFmtId="0" fontId="6" fillId="8" borderId="15" xfId="1" applyFill="1" applyBorder="1" applyAlignment="1">
      <alignment horizontal="center" vertical="center"/>
    </xf>
    <xf numFmtId="0" fontId="6" fillId="4" borderId="15" xfId="1" applyFill="1" applyBorder="1" applyAlignment="1">
      <alignment horizontal="center" vertical="center"/>
    </xf>
    <xf numFmtId="0" fontId="19" fillId="10" borderId="15" xfId="0" applyFont="1" applyFill="1" applyBorder="1" applyAlignment="1">
      <alignment horizontal="center" vertical="center"/>
    </xf>
    <xf numFmtId="0" fontId="0" fillId="0" borderId="15" xfId="0" applyBorder="1"/>
    <xf numFmtId="0" fontId="12" fillId="0" borderId="15" xfId="0" applyFont="1" applyBorder="1" applyAlignment="1">
      <alignment horizontal="center" vertical="center" wrapText="1"/>
    </xf>
    <xf numFmtId="0" fontId="6" fillId="0" borderId="15" xfId="1" applyFill="1" applyBorder="1" applyAlignment="1">
      <alignment horizontal="center" vertical="center"/>
    </xf>
    <xf numFmtId="0" fontId="6" fillId="6" borderId="15" xfId="1" applyFill="1" applyBorder="1" applyAlignment="1">
      <alignment horizontal="center" vertical="center"/>
    </xf>
    <xf numFmtId="0" fontId="6" fillId="8" borderId="3" xfId="1" quotePrefix="1" applyFill="1" applyBorder="1" applyAlignment="1">
      <alignment horizontal="center" vertical="center" wrapText="1"/>
    </xf>
    <xf numFmtId="0" fontId="6" fillId="4" borderId="15" xfId="1" quotePrefix="1" applyFill="1" applyBorder="1" applyAlignment="1">
      <alignment horizontal="center" vertical="center" wrapText="1"/>
    </xf>
    <xf numFmtId="0" fontId="6" fillId="9" borderId="35" xfId="1" applyFill="1" applyBorder="1" applyAlignment="1">
      <alignment horizontal="center" vertical="center"/>
    </xf>
    <xf numFmtId="0" fontId="6" fillId="5" borderId="34" xfId="1" applyFill="1" applyBorder="1" applyAlignment="1">
      <alignment horizontal="center" vertical="center" wrapText="1"/>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6" fillId="5" borderId="2" xfId="1" applyFill="1" applyBorder="1" applyAlignment="1">
      <alignment horizontal="center" vertical="center"/>
    </xf>
    <xf numFmtId="0" fontId="6" fillId="5" borderId="3" xfId="1" applyFill="1" applyBorder="1" applyAlignment="1">
      <alignment horizontal="center" vertical="center"/>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12" fillId="10" borderId="34" xfId="0" applyFont="1" applyFill="1" applyBorder="1" applyAlignment="1">
      <alignment horizontal="center" vertical="center" wrapText="1"/>
    </xf>
    <xf numFmtId="0" fontId="6" fillId="7" borderId="2" xfId="1" applyFill="1" applyBorder="1" applyAlignment="1">
      <alignment horizontal="center" vertical="center" wrapText="1"/>
    </xf>
    <xf numFmtId="0" fontId="6" fillId="7" borderId="3" xfId="1" applyFill="1" applyBorder="1" applyAlignment="1">
      <alignment horizontal="center" vertical="center" wrapText="1"/>
    </xf>
    <xf numFmtId="0" fontId="6" fillId="5" borderId="2" xfId="1" applyFill="1" applyBorder="1" applyAlignment="1">
      <alignment horizontal="center" vertical="center" wrapText="1"/>
    </xf>
    <xf numFmtId="0" fontId="6" fillId="5" borderId="3" xfId="1" applyFill="1" applyBorder="1" applyAlignment="1">
      <alignment horizontal="center" vertical="center" wrapText="1"/>
    </xf>
    <xf numFmtId="0" fontId="6" fillId="4" borderId="2" xfId="1" applyFill="1" applyBorder="1" applyAlignment="1">
      <alignment horizontal="center" vertical="center"/>
    </xf>
    <xf numFmtId="0" fontId="6" fillId="4" borderId="4" xfId="1" applyFill="1" applyBorder="1" applyAlignment="1">
      <alignment horizontal="center" vertical="center"/>
    </xf>
    <xf numFmtId="0" fontId="6" fillId="4" borderId="3" xfId="1" applyFill="1" applyBorder="1" applyAlignment="1">
      <alignment horizontal="center" vertical="center"/>
    </xf>
    <xf numFmtId="0" fontId="17" fillId="3" borderId="2" xfId="0" applyFont="1" applyFill="1" applyBorder="1" applyAlignment="1">
      <alignment horizontal="center" vertical="center"/>
    </xf>
    <xf numFmtId="0" fontId="17" fillId="3" borderId="4" xfId="0" applyFont="1" applyFill="1" applyBorder="1" applyAlignment="1">
      <alignment horizontal="center" vertical="center"/>
    </xf>
    <xf numFmtId="0" fontId="17" fillId="3" borderId="3" xfId="0" applyFont="1" applyFill="1" applyBorder="1" applyAlignment="1">
      <alignment horizontal="center" vertical="center"/>
    </xf>
    <xf numFmtId="14" fontId="1" fillId="3" borderId="2" xfId="0" applyNumberFormat="1" applyFont="1" applyFill="1" applyBorder="1" applyAlignment="1">
      <alignment horizontal="center" vertical="top"/>
    </xf>
    <xf numFmtId="0" fontId="1" fillId="3" borderId="3" xfId="0" applyFont="1" applyFill="1" applyBorder="1" applyAlignment="1">
      <alignment horizontal="center" vertical="top"/>
    </xf>
    <xf numFmtId="14" fontId="1" fillId="0" borderId="4" xfId="0" applyNumberFormat="1" applyFont="1" applyBorder="1" applyAlignment="1">
      <alignment horizontal="center" vertical="top"/>
    </xf>
    <xf numFmtId="0" fontId="1" fillId="0" borderId="4" xfId="0" applyFont="1" applyBorder="1" applyAlignment="1">
      <alignment horizontal="center" vertical="top"/>
    </xf>
    <xf numFmtId="14" fontId="1" fillId="0" borderId="2" xfId="0" applyNumberFormat="1" applyFont="1" applyBorder="1" applyAlignment="1">
      <alignment horizontal="center" vertical="center"/>
    </xf>
    <xf numFmtId="0" fontId="1" fillId="0" borderId="3" xfId="0" applyFont="1" applyBorder="1" applyAlignment="1">
      <alignment horizontal="center" vertical="center"/>
    </xf>
    <xf numFmtId="14" fontId="1" fillId="3" borderId="4" xfId="0" applyNumberFormat="1" applyFont="1" applyFill="1" applyBorder="1" applyAlignment="1">
      <alignment horizontal="center" vertical="top"/>
    </xf>
    <xf numFmtId="14" fontId="1" fillId="3" borderId="20" xfId="0" applyNumberFormat="1" applyFont="1" applyFill="1" applyBorder="1" applyAlignment="1">
      <alignment horizontal="center" vertical="top"/>
    </xf>
    <xf numFmtId="0" fontId="6" fillId="4" borderId="2" xfId="1" applyFill="1" applyBorder="1" applyAlignment="1">
      <alignment horizontal="center" vertical="center" wrapText="1"/>
    </xf>
    <xf numFmtId="0" fontId="6" fillId="4" borderId="4" xfId="1" applyFill="1" applyBorder="1" applyAlignment="1">
      <alignment horizontal="center" vertical="center" wrapText="1"/>
    </xf>
    <xf numFmtId="0" fontId="6" fillId="4" borderId="3" xfId="1" applyFill="1" applyBorder="1" applyAlignment="1">
      <alignment horizontal="center" vertical="center" wrapText="1"/>
    </xf>
    <xf numFmtId="0" fontId="14" fillId="10" borderId="2" xfId="0" applyFont="1" applyFill="1" applyBorder="1" applyAlignment="1">
      <alignment horizontal="center" vertical="center"/>
    </xf>
    <xf numFmtId="0" fontId="14" fillId="10" borderId="4" xfId="0" applyFont="1" applyFill="1" applyBorder="1" applyAlignment="1">
      <alignment horizontal="center" vertical="center"/>
    </xf>
    <xf numFmtId="0" fontId="14" fillId="10" borderId="3"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14" fontId="1" fillId="0" borderId="23" xfId="0" applyNumberFormat="1" applyFont="1" applyBorder="1" applyAlignment="1">
      <alignment horizontal="center" vertical="top"/>
    </xf>
    <xf numFmtId="0" fontId="1" fillId="0" borderId="20" xfId="0" applyFont="1" applyBorder="1" applyAlignment="1">
      <alignment horizontal="center" vertical="top"/>
    </xf>
    <xf numFmtId="0" fontId="6" fillId="7" borderId="4" xfId="1" applyFill="1" applyBorder="1" applyAlignment="1">
      <alignment horizontal="center" vertical="center" wrapText="1"/>
    </xf>
    <xf numFmtId="14" fontId="1" fillId="0" borderId="24" xfId="0" applyNumberFormat="1" applyFont="1" applyBorder="1" applyAlignment="1">
      <alignment horizontal="center" vertical="top"/>
    </xf>
    <xf numFmtId="0" fontId="1" fillId="0" borderId="25" xfId="0" applyFont="1" applyBorder="1" applyAlignment="1">
      <alignment horizontal="center" vertical="top"/>
    </xf>
    <xf numFmtId="14" fontId="1" fillId="0" borderId="26" xfId="0" applyNumberFormat="1" applyFont="1" applyBorder="1" applyAlignment="1">
      <alignment horizontal="center" vertical="top"/>
    </xf>
    <xf numFmtId="0" fontId="1" fillId="0" borderId="27" xfId="0" applyFont="1" applyBorder="1" applyAlignment="1">
      <alignment horizontal="center" vertical="top"/>
    </xf>
    <xf numFmtId="0" fontId="1" fillId="0" borderId="22" xfId="0" applyFont="1" applyBorder="1" applyAlignment="1">
      <alignment horizontal="center" vertical="top"/>
    </xf>
    <xf numFmtId="0" fontId="11" fillId="0" borderId="0" xfId="0" applyFont="1" applyAlignment="1">
      <alignment horizontal="center" vertical="center"/>
    </xf>
    <xf numFmtId="0" fontId="0" fillId="0" borderId="0" xfId="0" applyAlignment="1">
      <alignment horizontal="center" vertical="center"/>
    </xf>
    <xf numFmtId="0" fontId="12" fillId="10" borderId="2" xfId="0" applyFont="1" applyFill="1" applyBorder="1" applyAlignment="1">
      <alignment horizontal="center" vertical="center" wrapText="1"/>
    </xf>
    <xf numFmtId="0" fontId="12" fillId="10" borderId="4" xfId="0" applyFont="1" applyFill="1" applyBorder="1" applyAlignment="1">
      <alignment horizontal="center" vertical="center" wrapText="1"/>
    </xf>
    <xf numFmtId="0" fontId="12" fillId="10" borderId="3" xfId="0" applyFont="1" applyFill="1" applyBorder="1" applyAlignment="1">
      <alignment horizontal="center" vertical="center" wrapText="1"/>
    </xf>
    <xf numFmtId="0" fontId="6" fillId="8" borderId="2" xfId="1" applyFill="1" applyBorder="1" applyAlignment="1">
      <alignment horizontal="center" vertical="center"/>
    </xf>
    <xf numFmtId="0" fontId="6" fillId="8" borderId="3" xfId="1" applyFill="1" applyBorder="1" applyAlignment="1">
      <alignment horizontal="center" vertical="center"/>
    </xf>
    <xf numFmtId="0" fontId="6" fillId="5" borderId="4" xfId="1" applyFill="1" applyBorder="1" applyAlignment="1">
      <alignment horizontal="center" vertical="center" wrapText="1"/>
    </xf>
    <xf numFmtId="0" fontId="18" fillId="0" borderId="0" xfId="0" applyFont="1" applyAlignment="1">
      <alignment horizontal="center"/>
    </xf>
    <xf numFmtId="0" fontId="6" fillId="9" borderId="2" xfId="1" applyFill="1" applyBorder="1" applyAlignment="1">
      <alignment horizontal="center" vertical="center" wrapText="1"/>
    </xf>
    <xf numFmtId="0" fontId="6" fillId="9" borderId="4" xfId="1" applyFill="1" applyBorder="1" applyAlignment="1">
      <alignment horizontal="center" vertical="center" wrapText="1"/>
    </xf>
    <xf numFmtId="0" fontId="6" fillId="9" borderId="3" xfId="1" applyFill="1" applyBorder="1" applyAlignment="1">
      <alignment horizontal="center" vertical="center" wrapText="1"/>
    </xf>
    <xf numFmtId="0" fontId="6" fillId="5" borderId="4" xfId="1" applyFill="1" applyBorder="1" applyAlignment="1">
      <alignment horizontal="center" vertical="center"/>
    </xf>
    <xf numFmtId="0" fontId="12" fillId="10" borderId="25" xfId="0" applyFont="1" applyFill="1" applyBorder="1" applyAlignment="1">
      <alignment horizontal="center" vertical="center" wrapText="1"/>
    </xf>
    <xf numFmtId="0" fontId="6" fillId="8" borderId="2" xfId="1" applyFill="1" applyBorder="1" applyAlignment="1">
      <alignment horizontal="center" vertical="center" wrapText="1"/>
    </xf>
    <xf numFmtId="0" fontId="6" fillId="8" borderId="3" xfId="1" applyFill="1" applyBorder="1" applyAlignment="1">
      <alignment horizontal="center" vertical="center" wrapText="1"/>
    </xf>
    <xf numFmtId="0" fontId="6" fillId="5" borderId="21" xfId="1" applyFill="1" applyBorder="1" applyAlignment="1">
      <alignment horizontal="center" vertical="center" wrapText="1"/>
    </xf>
    <xf numFmtId="0" fontId="6" fillId="5" borderId="27" xfId="1" applyFill="1" applyBorder="1" applyAlignment="1">
      <alignment horizontal="center" vertical="center" wrapText="1"/>
    </xf>
    <xf numFmtId="0" fontId="6" fillId="4" borderId="21" xfId="1" applyFill="1" applyBorder="1" applyAlignment="1">
      <alignment horizontal="center" vertical="center" wrapText="1"/>
    </xf>
    <xf numFmtId="0" fontId="6" fillId="4" borderId="27" xfId="1" applyFill="1" applyBorder="1" applyAlignment="1">
      <alignment horizontal="center" vertical="center"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3" xfId="0" applyFont="1" applyBorder="1" applyAlignment="1">
      <alignment horizontal="center" wrapText="1"/>
    </xf>
    <xf numFmtId="0" fontId="6" fillId="11" borderId="18"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6600"/>
      <color rgb="FF99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4</xdr:row>
      <xdr:rowOff>38100</xdr:rowOff>
    </xdr:from>
    <xdr:to>
      <xdr:col>15</xdr:col>
      <xdr:colOff>250698</xdr:colOff>
      <xdr:row>8</xdr:row>
      <xdr:rowOff>838200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1250" y="800100"/>
          <a:ext cx="4346448" cy="2133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892969</xdr:colOff>
      <xdr:row>3</xdr:row>
      <xdr:rowOff>726281</xdr:rowOff>
    </xdr:from>
    <xdr:to>
      <xdr:col>4</xdr:col>
      <xdr:colOff>1369218</xdr:colOff>
      <xdr:row>3</xdr:row>
      <xdr:rowOff>726281</xdr:rowOff>
    </xdr:to>
    <xdr:cxnSp macro="">
      <xdr:nvCxnSpPr>
        <xdr:cNvPr id="6" name="Straight Arrow Connector 5">
          <a:extLst>
            <a:ext uri="{FF2B5EF4-FFF2-40B4-BE49-F238E27FC236}">
              <a16:creationId xmlns:a16="http://schemas.microsoft.com/office/drawing/2014/main" id="{00000000-0008-0000-0100-000006000000}"/>
            </a:ext>
          </a:extLst>
        </xdr:cNvPr>
        <xdr:cNvCxnSpPr/>
      </xdr:nvCxnSpPr>
      <xdr:spPr>
        <a:xfrm flipH="1">
          <a:off x="4286250" y="1654969"/>
          <a:ext cx="2166937"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940594</xdr:colOff>
      <xdr:row>7</xdr:row>
      <xdr:rowOff>761999</xdr:rowOff>
    </xdr:from>
    <xdr:to>
      <xdr:col>2</xdr:col>
      <xdr:colOff>767953</xdr:colOff>
      <xdr:row>7</xdr:row>
      <xdr:rowOff>767952</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flipV="1">
          <a:off x="940594" y="3589734"/>
          <a:ext cx="2208609" cy="59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291702</xdr:colOff>
      <xdr:row>9</xdr:row>
      <xdr:rowOff>714374</xdr:rowOff>
    </xdr:from>
    <xdr:to>
      <xdr:col>8</xdr:col>
      <xdr:colOff>839390</xdr:colOff>
      <xdr:row>9</xdr:row>
      <xdr:rowOff>726281</xdr:rowOff>
    </xdr:to>
    <xdr:cxnSp macro="">
      <xdr:nvCxnSpPr>
        <xdr:cNvPr id="4" name="Straight Arrow Connector 3">
          <a:extLst>
            <a:ext uri="{FF2B5EF4-FFF2-40B4-BE49-F238E27FC236}">
              <a16:creationId xmlns:a16="http://schemas.microsoft.com/office/drawing/2014/main" id="{00000000-0008-0000-0200-000004000000}"/>
            </a:ext>
          </a:extLst>
        </xdr:cNvPr>
        <xdr:cNvCxnSpPr/>
      </xdr:nvCxnSpPr>
      <xdr:spPr>
        <a:xfrm flipV="1">
          <a:off x="8203406" y="4691062"/>
          <a:ext cx="2131219" cy="11907"/>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940593</xdr:colOff>
      <xdr:row>9</xdr:row>
      <xdr:rowOff>708421</xdr:rowOff>
    </xdr:from>
    <xdr:to>
      <xdr:col>9</xdr:col>
      <xdr:colOff>1214437</xdr:colOff>
      <xdr:row>9</xdr:row>
      <xdr:rowOff>714374</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flipV="1">
          <a:off x="10435828" y="4685109"/>
          <a:ext cx="1857375" cy="5953"/>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B40"/>
  <sheetViews>
    <sheetView showGridLines="0" workbookViewId="0">
      <selection activeCell="R9" sqref="R9"/>
    </sheetView>
  </sheetViews>
  <sheetFormatPr defaultRowHeight="14.4" x14ac:dyDescent="0.3"/>
  <sheetData>
    <row r="8" spans="2:2" ht="60" customHeight="1" x14ac:dyDescent="0.3"/>
    <row r="9" spans="2:2" ht="76.8" x14ac:dyDescent="1.4">
      <c r="B9" s="12" t="s">
        <v>19</v>
      </c>
    </row>
    <row r="11" spans="2:2" ht="76.8" x14ac:dyDescent="1.4">
      <c r="B11" s="12" t="s">
        <v>18</v>
      </c>
    </row>
    <row r="40" spans="1:1" x14ac:dyDescent="0.3">
      <c r="A40" s="11" t="s">
        <v>17</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FF99"/>
  </sheetPr>
  <dimension ref="A1:K25"/>
  <sheetViews>
    <sheetView zoomScale="80" zoomScaleNormal="80" workbookViewId="0">
      <selection activeCell="J12" sqref="J12"/>
    </sheetView>
  </sheetViews>
  <sheetFormatPr defaultColWidth="9" defaultRowHeight="14.4" x14ac:dyDescent="0.3"/>
  <cols>
    <col min="1" max="1" width="22.109375" customWidth="1"/>
    <col min="2" max="2" width="11.109375" customWidth="1"/>
    <col min="3" max="3" width="11.21875" customWidth="1"/>
    <col min="4" max="5" width="22.109375" customWidth="1"/>
    <col min="6" max="6" width="11.109375" customWidth="1"/>
    <col min="7" max="7" width="10.88671875" customWidth="1"/>
    <col min="8" max="11" width="22.109375" customWidth="1"/>
  </cols>
  <sheetData>
    <row r="1" spans="1:11" ht="30" x14ac:dyDescent="0.5">
      <c r="A1" s="138" t="s">
        <v>271</v>
      </c>
      <c r="B1" s="138"/>
      <c r="C1" s="138"/>
      <c r="D1" s="138"/>
      <c r="E1" s="138"/>
      <c r="F1" s="138"/>
      <c r="G1" s="138"/>
      <c r="H1" s="138"/>
      <c r="I1" s="138"/>
      <c r="J1" s="138"/>
      <c r="K1" s="138"/>
    </row>
    <row r="2" spans="1:11" ht="26.4" thickBot="1" x14ac:dyDescent="0.35">
      <c r="E2" s="130" t="s">
        <v>13</v>
      </c>
      <c r="F2" s="131"/>
      <c r="G2" s="131"/>
      <c r="H2" s="131"/>
    </row>
    <row r="3" spans="1:11" ht="15.75" customHeight="1" thickBot="1" x14ac:dyDescent="0.35">
      <c r="A3" s="43">
        <v>42618</v>
      </c>
      <c r="B3" s="108">
        <f>A3+7</f>
        <v>42625</v>
      </c>
      <c r="C3" s="129"/>
      <c r="D3" s="44">
        <f>B3+7</f>
        <v>42632</v>
      </c>
      <c r="E3" s="44">
        <f>D3+7</f>
        <v>42639</v>
      </c>
      <c r="F3" s="122">
        <f>E3+7</f>
        <v>42646</v>
      </c>
      <c r="G3" s="123"/>
      <c r="H3" s="44">
        <f>F3+7</f>
        <v>42653</v>
      </c>
      <c r="I3" s="44">
        <f>H3+7</f>
        <v>42660</v>
      </c>
      <c r="J3" s="46">
        <f>I3+7</f>
        <v>42667</v>
      </c>
      <c r="K3" s="47">
        <f>J3+7</f>
        <v>42674</v>
      </c>
    </row>
    <row r="4" spans="1:11" s="32" customFormat="1" ht="75.75" customHeight="1" thickBot="1" x14ac:dyDescent="0.35">
      <c r="A4" s="67" t="s">
        <v>222</v>
      </c>
      <c r="B4" s="98" t="s">
        <v>272</v>
      </c>
      <c r="C4" s="99"/>
      <c r="D4" s="83" t="s">
        <v>223</v>
      </c>
      <c r="E4" s="69" t="s">
        <v>224</v>
      </c>
      <c r="F4" s="114" t="s">
        <v>225</v>
      </c>
      <c r="G4" s="116"/>
      <c r="H4" s="38" t="s">
        <v>226</v>
      </c>
      <c r="I4" s="34" t="s">
        <v>23</v>
      </c>
      <c r="J4" s="45" t="s">
        <v>258</v>
      </c>
      <c r="K4" s="38" t="s">
        <v>227</v>
      </c>
    </row>
    <row r="5" spans="1:11" ht="15" thickBot="1" x14ac:dyDescent="0.35">
      <c r="A5" s="48">
        <f>K3+7</f>
        <v>42681</v>
      </c>
      <c r="B5" s="125">
        <f>A5+7</f>
        <v>42688</v>
      </c>
      <c r="C5" s="126"/>
      <c r="D5" s="49">
        <f>B5+7</f>
        <v>42695</v>
      </c>
      <c r="E5" s="49">
        <f>D5+7</f>
        <v>42702</v>
      </c>
      <c r="F5" s="127">
        <f>E5+7</f>
        <v>42709</v>
      </c>
      <c r="G5" s="128"/>
      <c r="H5" s="50">
        <f>F5+7</f>
        <v>42716</v>
      </c>
      <c r="I5" s="53">
        <f>H5+7</f>
        <v>42723</v>
      </c>
      <c r="J5" s="52">
        <f>I5+7</f>
        <v>42730</v>
      </c>
      <c r="K5" s="51">
        <f>J5+7</f>
        <v>42737</v>
      </c>
    </row>
    <row r="6" spans="1:11" s="32" customFormat="1" ht="75.75" customHeight="1" thickBot="1" x14ac:dyDescent="0.35">
      <c r="A6" s="40" t="s">
        <v>24</v>
      </c>
      <c r="B6" s="139" t="s">
        <v>25</v>
      </c>
      <c r="C6" s="140"/>
      <c r="D6" s="141"/>
      <c r="E6" s="84" t="s">
        <v>26</v>
      </c>
      <c r="F6" s="117" t="s">
        <v>261</v>
      </c>
      <c r="G6" s="118"/>
      <c r="H6" s="119"/>
      <c r="I6" s="120" t="s">
        <v>262</v>
      </c>
      <c r="J6" s="121"/>
      <c r="K6" s="40" t="s">
        <v>27</v>
      </c>
    </row>
    <row r="7" spans="1:11" ht="15" thickBot="1" x14ac:dyDescent="0.35">
      <c r="A7" s="48">
        <f>K5+7</f>
        <v>42744</v>
      </c>
      <c r="B7" s="122">
        <f>A7+7</f>
        <v>42751</v>
      </c>
      <c r="C7" s="123"/>
      <c r="D7" s="54">
        <f>B7+7</f>
        <v>42758</v>
      </c>
      <c r="E7" s="49">
        <f>D7+7</f>
        <v>42765</v>
      </c>
      <c r="F7" s="122">
        <f>E7+7</f>
        <v>42772</v>
      </c>
      <c r="G7" s="123"/>
      <c r="H7" s="55">
        <f>F7+7</f>
        <v>42779</v>
      </c>
      <c r="I7" s="49">
        <f>H7+7</f>
        <v>42786</v>
      </c>
      <c r="J7" s="49">
        <f>I7+7</f>
        <v>42793</v>
      </c>
      <c r="K7" s="56">
        <f>J7+7</f>
        <v>42800</v>
      </c>
    </row>
    <row r="8" spans="1:11" s="32" customFormat="1" ht="75.75" customHeight="1" thickBot="1" x14ac:dyDescent="0.35">
      <c r="A8" s="98" t="s">
        <v>28</v>
      </c>
      <c r="B8" s="137"/>
      <c r="C8" s="99"/>
      <c r="D8" s="98" t="s">
        <v>29</v>
      </c>
      <c r="E8" s="99"/>
      <c r="F8" s="114" t="s">
        <v>30</v>
      </c>
      <c r="G8" s="116"/>
      <c r="H8" s="57" t="s">
        <v>258</v>
      </c>
      <c r="I8" s="70" t="s">
        <v>31</v>
      </c>
      <c r="J8" s="75" t="s">
        <v>120</v>
      </c>
      <c r="K8" s="73" t="s">
        <v>32</v>
      </c>
    </row>
    <row r="9" spans="1:11" ht="15" thickBot="1" x14ac:dyDescent="0.35">
      <c r="A9" s="58">
        <f>K7+7</f>
        <v>42807</v>
      </c>
      <c r="B9" s="110">
        <f>A9+7</f>
        <v>42814</v>
      </c>
      <c r="C9" s="111"/>
      <c r="D9" s="59">
        <f>B9+7</f>
        <v>42821</v>
      </c>
      <c r="E9" s="60">
        <f>D9+7</f>
        <v>42828</v>
      </c>
      <c r="F9" s="112">
        <f>E9+7</f>
        <v>42835</v>
      </c>
      <c r="G9" s="113"/>
      <c r="H9" s="61">
        <f>F9+7</f>
        <v>42842</v>
      </c>
      <c r="I9" s="62">
        <f>H9+7</f>
        <v>42849</v>
      </c>
      <c r="J9" s="63">
        <f>I9+7</f>
        <v>42856</v>
      </c>
      <c r="K9" s="64">
        <f>J9+7</f>
        <v>42863</v>
      </c>
    </row>
    <row r="10" spans="1:11" s="32" customFormat="1" ht="75.75" customHeight="1" thickBot="1" x14ac:dyDescent="0.35">
      <c r="A10" s="77" t="s">
        <v>32</v>
      </c>
      <c r="B10" s="135" t="s">
        <v>7</v>
      </c>
      <c r="C10" s="136"/>
      <c r="D10" s="76" t="s">
        <v>34</v>
      </c>
      <c r="E10" s="103" t="s">
        <v>263</v>
      </c>
      <c r="F10" s="104"/>
      <c r="G10" s="105"/>
      <c r="H10" s="71" t="s">
        <v>33</v>
      </c>
      <c r="I10" s="90" t="s">
        <v>10</v>
      </c>
      <c r="J10" s="91"/>
      <c r="K10" s="35" t="s">
        <v>144</v>
      </c>
    </row>
    <row r="11" spans="1:11" ht="15" thickBot="1" x14ac:dyDescent="0.35">
      <c r="A11" s="65">
        <f>K9+7</f>
        <v>42870</v>
      </c>
      <c r="B11" s="106">
        <f>A11+7</f>
        <v>42877</v>
      </c>
      <c r="C11" s="107"/>
      <c r="D11" s="43">
        <f>B11+7</f>
        <v>42884</v>
      </c>
      <c r="E11" s="43">
        <f>D11+7</f>
        <v>42891</v>
      </c>
      <c r="F11" s="108">
        <f>E11+7</f>
        <v>42898</v>
      </c>
      <c r="G11" s="109"/>
      <c r="H11" s="43">
        <f>F11+7</f>
        <v>42905</v>
      </c>
      <c r="I11" s="66">
        <f>H11+7</f>
        <v>42912</v>
      </c>
      <c r="J11" s="54">
        <f>I11+7</f>
        <v>42919</v>
      </c>
      <c r="K11" s="56">
        <f>J11+7</f>
        <v>42926</v>
      </c>
    </row>
    <row r="12" spans="1:11" s="32" customFormat="1" ht="75" customHeight="1" thickBot="1" x14ac:dyDescent="0.35">
      <c r="A12" s="35" t="s">
        <v>35</v>
      </c>
      <c r="B12" s="92" t="s">
        <v>258</v>
      </c>
      <c r="C12" s="93"/>
      <c r="D12" s="40" t="s">
        <v>36</v>
      </c>
      <c r="E12" s="86" t="s">
        <v>15</v>
      </c>
      <c r="F12" s="132" t="s">
        <v>264</v>
      </c>
      <c r="G12" s="133"/>
      <c r="H12" s="134"/>
      <c r="I12" s="85" t="s">
        <v>37</v>
      </c>
      <c r="J12" s="153" t="s">
        <v>265</v>
      </c>
      <c r="K12" s="42" t="s">
        <v>153</v>
      </c>
    </row>
    <row r="15" spans="1:11" ht="26.4" thickBot="1" x14ac:dyDescent="0.35">
      <c r="E15" s="130" t="s">
        <v>14</v>
      </c>
      <c r="F15" s="131"/>
      <c r="G15" s="131"/>
      <c r="H15" s="131"/>
    </row>
    <row r="16" spans="1:11" ht="15.75" customHeight="1" thickBot="1" x14ac:dyDescent="0.35">
      <c r="A16" s="43">
        <v>42982</v>
      </c>
      <c r="B16" s="108">
        <f>A16+7</f>
        <v>42989</v>
      </c>
      <c r="C16" s="129"/>
      <c r="D16" s="44">
        <f>B16+7</f>
        <v>42996</v>
      </c>
      <c r="E16" s="44">
        <f>D16+7</f>
        <v>43003</v>
      </c>
      <c r="F16" s="122">
        <f>E16+7</f>
        <v>43010</v>
      </c>
      <c r="G16" s="123"/>
      <c r="H16" s="44">
        <f>F16+7</f>
        <v>43017</v>
      </c>
      <c r="I16" s="44">
        <f>H16+7</f>
        <v>43024</v>
      </c>
      <c r="J16" s="46">
        <f>I16+7</f>
        <v>43031</v>
      </c>
      <c r="K16" s="47">
        <f>J16+7</f>
        <v>43038</v>
      </c>
    </row>
    <row r="17" spans="1:11" ht="75.45" customHeight="1" thickBot="1" x14ac:dyDescent="0.35">
      <c r="A17" s="96" t="s">
        <v>38</v>
      </c>
      <c r="B17" s="124"/>
      <c r="C17" s="97"/>
      <c r="D17" s="98" t="s">
        <v>39</v>
      </c>
      <c r="E17" s="99"/>
      <c r="F17" s="114" t="s">
        <v>267</v>
      </c>
      <c r="G17" s="115"/>
      <c r="H17" s="116"/>
      <c r="I17" s="72" t="s">
        <v>175</v>
      </c>
      <c r="J17" s="45" t="s">
        <v>258</v>
      </c>
      <c r="K17" s="73" t="s">
        <v>46</v>
      </c>
    </row>
    <row r="18" spans="1:11" ht="16.2" customHeight="1" thickBot="1" x14ac:dyDescent="0.35">
      <c r="A18" s="48">
        <f>K16+7</f>
        <v>43045</v>
      </c>
      <c r="B18" s="125">
        <f>A18+7</f>
        <v>43052</v>
      </c>
      <c r="C18" s="126"/>
      <c r="D18" s="49">
        <f>B18+7</f>
        <v>43059</v>
      </c>
      <c r="E18" s="49">
        <f>D18+7</f>
        <v>43066</v>
      </c>
      <c r="F18" s="127">
        <f>E18+7</f>
        <v>43073</v>
      </c>
      <c r="G18" s="128"/>
      <c r="H18" s="50">
        <f>F18+7</f>
        <v>43080</v>
      </c>
      <c r="I18" s="53">
        <f>H18+7</f>
        <v>43087</v>
      </c>
      <c r="J18" s="52">
        <f>I18+7</f>
        <v>43094</v>
      </c>
      <c r="K18" s="51">
        <f>J18+7</f>
        <v>43101</v>
      </c>
    </row>
    <row r="19" spans="1:11" ht="75" customHeight="1" thickBot="1" x14ac:dyDescent="0.35">
      <c r="A19" s="35" t="s">
        <v>228</v>
      </c>
      <c r="B19" s="114" t="s">
        <v>43</v>
      </c>
      <c r="C19" s="115"/>
      <c r="D19" s="115"/>
      <c r="E19" s="34" t="s">
        <v>229</v>
      </c>
      <c r="F19" s="117" t="s">
        <v>261</v>
      </c>
      <c r="G19" s="118"/>
      <c r="H19" s="119"/>
      <c r="I19" s="120" t="s">
        <v>262</v>
      </c>
      <c r="J19" s="121"/>
      <c r="K19" s="34" t="s">
        <v>230</v>
      </c>
    </row>
    <row r="20" spans="1:11" ht="15.75" customHeight="1" thickBot="1" x14ac:dyDescent="0.35">
      <c r="A20" s="48">
        <f>K18+7</f>
        <v>43108</v>
      </c>
      <c r="B20" s="122">
        <f>A20+7</f>
        <v>43115</v>
      </c>
      <c r="C20" s="123"/>
      <c r="D20" s="49">
        <f>B20+7</f>
        <v>43122</v>
      </c>
      <c r="E20" s="49">
        <f>D20+7</f>
        <v>43129</v>
      </c>
      <c r="F20" s="122">
        <f>E20+7</f>
        <v>43136</v>
      </c>
      <c r="G20" s="123"/>
      <c r="H20" s="55">
        <f>F20+7</f>
        <v>43143</v>
      </c>
      <c r="I20" s="49">
        <f>H20+7</f>
        <v>43150</v>
      </c>
      <c r="J20" s="49">
        <f>I20+7</f>
        <v>43157</v>
      </c>
      <c r="K20" s="56">
        <f>J20+7</f>
        <v>43164</v>
      </c>
    </row>
    <row r="21" spans="1:11" ht="75" customHeight="1" thickBot="1" x14ac:dyDescent="0.35">
      <c r="A21" s="114" t="s">
        <v>44</v>
      </c>
      <c r="B21" s="115"/>
      <c r="C21" s="116"/>
      <c r="D21" s="96" t="s">
        <v>45</v>
      </c>
      <c r="E21" s="97"/>
      <c r="F21" s="98" t="s">
        <v>231</v>
      </c>
      <c r="G21" s="99"/>
      <c r="H21" s="57" t="s">
        <v>258</v>
      </c>
      <c r="I21" s="90" t="s">
        <v>231</v>
      </c>
      <c r="J21" s="91"/>
      <c r="K21" s="73" t="s">
        <v>273</v>
      </c>
    </row>
    <row r="22" spans="1:11" ht="16.5" customHeight="1" thickBot="1" x14ac:dyDescent="0.35">
      <c r="A22" s="58">
        <f>K20+7</f>
        <v>43171</v>
      </c>
      <c r="B22" s="110">
        <f>A22+7</f>
        <v>43178</v>
      </c>
      <c r="C22" s="111"/>
      <c r="D22" s="50">
        <f>B22+7</f>
        <v>43185</v>
      </c>
      <c r="E22" s="60">
        <f>D22+7</f>
        <v>43192</v>
      </c>
      <c r="F22" s="112">
        <f>E22+7</f>
        <v>43199</v>
      </c>
      <c r="G22" s="113"/>
      <c r="H22" s="61">
        <f>F22+7</f>
        <v>43206</v>
      </c>
      <c r="I22" s="62">
        <f>H22+7</f>
        <v>43213</v>
      </c>
      <c r="J22" s="63">
        <f>I22+7</f>
        <v>43220</v>
      </c>
      <c r="K22" s="64">
        <f>J22+7</f>
        <v>43227</v>
      </c>
    </row>
    <row r="23" spans="1:11" ht="75" customHeight="1" thickBot="1" x14ac:dyDescent="0.35">
      <c r="A23" s="77" t="s">
        <v>273</v>
      </c>
      <c r="B23" s="100" t="s">
        <v>233</v>
      </c>
      <c r="C23" s="101"/>
      <c r="D23" s="102"/>
      <c r="E23" s="103" t="s">
        <v>263</v>
      </c>
      <c r="F23" s="104"/>
      <c r="G23" s="105"/>
      <c r="H23" s="74" t="s">
        <v>47</v>
      </c>
      <c r="I23" s="90" t="s">
        <v>53</v>
      </c>
      <c r="J23" s="91"/>
      <c r="K23" s="78" t="s">
        <v>270</v>
      </c>
    </row>
    <row r="24" spans="1:11" ht="16.2" customHeight="1" thickBot="1" x14ac:dyDescent="0.35">
      <c r="A24" s="65">
        <f>K22+7</f>
        <v>43234</v>
      </c>
      <c r="B24" s="106">
        <f>A24+7</f>
        <v>43241</v>
      </c>
      <c r="C24" s="107"/>
      <c r="D24" s="43">
        <f>B24+7</f>
        <v>43248</v>
      </c>
      <c r="E24" s="43">
        <f>D24+7</f>
        <v>43255</v>
      </c>
      <c r="F24" s="108">
        <f>E24+7</f>
        <v>43262</v>
      </c>
      <c r="G24" s="109"/>
      <c r="H24" s="43">
        <f>F24+7</f>
        <v>43269</v>
      </c>
      <c r="I24" s="50">
        <f>H24+7</f>
        <v>43276</v>
      </c>
      <c r="J24" s="49">
        <f>I24+7</f>
        <v>43283</v>
      </c>
      <c r="K24" s="51">
        <f>J24+7</f>
        <v>43290</v>
      </c>
    </row>
    <row r="25" spans="1:11" ht="75" customHeight="1" thickBot="1" x14ac:dyDescent="0.35">
      <c r="A25" s="78" t="s">
        <v>270</v>
      </c>
      <c r="B25" s="92" t="s">
        <v>258</v>
      </c>
      <c r="C25" s="93"/>
      <c r="D25" s="94" t="s">
        <v>264</v>
      </c>
      <c r="E25" s="95"/>
      <c r="F25" s="95"/>
      <c r="G25" s="95"/>
      <c r="H25" s="95"/>
      <c r="I25" s="81"/>
      <c r="J25" s="80"/>
      <c r="K25" s="79"/>
    </row>
  </sheetData>
  <mergeCells count="51">
    <mergeCell ref="B7:C7"/>
    <mergeCell ref="F7:G7"/>
    <mergeCell ref="A1:K1"/>
    <mergeCell ref="E2:H2"/>
    <mergeCell ref="B3:C3"/>
    <mergeCell ref="F3:G3"/>
    <mergeCell ref="B4:C4"/>
    <mergeCell ref="F4:G4"/>
    <mergeCell ref="B6:D6"/>
    <mergeCell ref="B5:C5"/>
    <mergeCell ref="F5:G5"/>
    <mergeCell ref="F6:H6"/>
    <mergeCell ref="I6:J6"/>
    <mergeCell ref="F8:G8"/>
    <mergeCell ref="B9:C9"/>
    <mergeCell ref="F9:G9"/>
    <mergeCell ref="B10:C10"/>
    <mergeCell ref="E10:G10"/>
    <mergeCell ref="A8:C8"/>
    <mergeCell ref="D8:E8"/>
    <mergeCell ref="I10:J10"/>
    <mergeCell ref="B11:C11"/>
    <mergeCell ref="F11:G11"/>
    <mergeCell ref="B12:C12"/>
    <mergeCell ref="B16:C16"/>
    <mergeCell ref="F16:G16"/>
    <mergeCell ref="E15:H15"/>
    <mergeCell ref="F12:H12"/>
    <mergeCell ref="A17:C17"/>
    <mergeCell ref="B18:C18"/>
    <mergeCell ref="F18:G18"/>
    <mergeCell ref="F17:H17"/>
    <mergeCell ref="D17:E17"/>
    <mergeCell ref="F19:H19"/>
    <mergeCell ref="I19:J19"/>
    <mergeCell ref="B20:C20"/>
    <mergeCell ref="F20:G20"/>
    <mergeCell ref="B19:D19"/>
    <mergeCell ref="I23:J23"/>
    <mergeCell ref="B25:C25"/>
    <mergeCell ref="D25:H25"/>
    <mergeCell ref="D21:E21"/>
    <mergeCell ref="F21:G21"/>
    <mergeCell ref="B23:D23"/>
    <mergeCell ref="E23:G23"/>
    <mergeCell ref="B24:C24"/>
    <mergeCell ref="F24:G24"/>
    <mergeCell ref="I21:J21"/>
    <mergeCell ref="B22:C22"/>
    <mergeCell ref="F22:G22"/>
    <mergeCell ref="A21:C21"/>
  </mergeCells>
  <hyperlinks>
    <hyperlink ref="K8" location="Equations!A1" display="Equations" xr:uid="{00000000-0004-0000-0100-000000000000}"/>
    <hyperlink ref="I8:J8" location="Graphs!A1" display="Graphs" xr:uid="{00000000-0004-0000-0100-000001000000}"/>
    <hyperlink ref="F8:G8" location="'Real life graphs'!A1" display="Real life graphs" xr:uid="{00000000-0004-0000-0100-000002000000}"/>
    <hyperlink ref="A8" location="'Perimeter and area'!A1" display="Perimeter and area" xr:uid="{00000000-0004-0000-0100-000003000000}"/>
    <hyperlink ref="K6" location="'Basic percentages'!A1" display="Basic percentages" xr:uid="{00000000-0004-0000-0100-000004000000}"/>
    <hyperlink ref="A6" location="Rounding!A1" display="Rounding" xr:uid="{00000000-0004-0000-0100-000005000000}"/>
    <hyperlink ref="A4" location="'Angles, scales and bearings'!A1" display="Angles" xr:uid="{00000000-0004-0000-0100-000006000000}"/>
    <hyperlink ref="I4" location="'Coordinates and linear graphs'!A1" display="Coordinates and linear graphs" xr:uid="{00000000-0004-0000-0100-000007000000}"/>
    <hyperlink ref="K4" location="'Fractions and decimals'!A1" display="Rounding" xr:uid="{00000000-0004-0000-0100-000008000000}"/>
    <hyperlink ref="B6" location="Sequences!A1" display="Sequences" xr:uid="{00000000-0004-0000-0100-000009000000}"/>
    <hyperlink ref="E6" location="Sequences!A1" display="Sequences" xr:uid="{00000000-0004-0000-0100-00000A000000}"/>
    <hyperlink ref="D8" location="'Real life graphs'!A1" display="Real life graphs" xr:uid="{00000000-0004-0000-0100-00000B000000}"/>
    <hyperlink ref="J8" location="Indices!A1" display="Indices!A1" xr:uid="{00000000-0004-0000-0100-00000C000000}"/>
    <hyperlink ref="A10" location="Equations!A1" display="Basic probability" xr:uid="{00000000-0004-0000-0100-00000D000000}"/>
    <hyperlink ref="B10:C10" location="Indices!A1" display="Standard form" xr:uid="{00000000-0004-0000-0100-00000E000000}"/>
    <hyperlink ref="D10" location="'Standard form'!A1" display="Standard form" xr:uid="{00000000-0004-0000-0100-00000F000000}"/>
    <hyperlink ref="H10" location="'Basic probability'!A1" display="Basic probability" xr:uid="{00000000-0004-0000-0100-000010000000}"/>
    <hyperlink ref="K10" location="'Congruence and similarity'!A1" display="2D representations of 3D shapes" xr:uid="{00000000-0004-0000-0100-000011000000}"/>
    <hyperlink ref="A12" location="'2D of 3D shapes'!A1" display="Calculating with percentages" xr:uid="{00000000-0004-0000-0100-000012000000}"/>
    <hyperlink ref="K12" location="'Constructions and loci'!A1" display="Constructions and loci" xr:uid="{00000000-0004-0000-0100-000013000000}"/>
    <hyperlink ref="I12" location="'Stats measures'!A1" display="Statistical measures" xr:uid="{00000000-0004-0000-0100-000014000000}"/>
    <hyperlink ref="K21" location="'Sketching graphs'!A1" display="Sketching quadratics" xr:uid="{00000000-0004-0000-0100-000015000000}"/>
    <hyperlink ref="F21:G21" location="Trigonometry!A1" display="Trigonometry" xr:uid="{00000000-0004-0000-0100-000016000000}"/>
    <hyperlink ref="A21" location="'DIrect and inverse proportion'!A1" display="Perimeter and area" xr:uid="{00000000-0004-0000-0100-000017000000}"/>
    <hyperlink ref="K19" location="'Further equations and graphs'!A1" display="Algebra and graphs (2)" xr:uid="{00000000-0004-0000-0100-000018000000}"/>
    <hyperlink ref="A19" location="'Pythag and basic trig'!A1" display="Pythagoras' theorem" xr:uid="{00000000-0004-0000-0100-000019000000}"/>
    <hyperlink ref="A17" location="'Angles, scales and bearings'!A1" display="Angles, scale diagrams and bearings" xr:uid="{00000000-0004-0000-0100-00001A000000}"/>
    <hyperlink ref="I17" location="'Scatter graphs'!A1" display="Scatter graphs" xr:uid="{00000000-0004-0000-0100-00001B000000}"/>
    <hyperlink ref="K17" location="Inequalities!A1" display="Inequalities" xr:uid="{00000000-0004-0000-0100-00001C000000}"/>
    <hyperlink ref="B19" location="Sequences!A1" display="Sequences" xr:uid="{00000000-0004-0000-0100-00001D000000}"/>
    <hyperlink ref="D21" location="'Real life graphs'!A1" display="Real life graphs" xr:uid="{00000000-0004-0000-0100-00001E000000}"/>
    <hyperlink ref="A23" location="'Sketching graphs'!A1" display="Sine and cosine rules" xr:uid="{00000000-0004-0000-0100-00001F000000}"/>
    <hyperlink ref="B23:C23" location="'Circle theorems'!A1" display="Circle theorems" xr:uid="{00000000-0004-0000-0100-000020000000}"/>
    <hyperlink ref="H23" location="'Growth and decay'!A1" display="Growth and decay" xr:uid="{00000000-0004-0000-0100-000021000000}"/>
    <hyperlink ref="A17:B17" location="Probability!A1" display="Angles, scale diagrams and bearings" xr:uid="{00000000-0004-0000-0100-000022000000}"/>
    <hyperlink ref="D17" location="Volume!A1" display="Volume" xr:uid="{00000000-0004-0000-0100-000023000000}"/>
    <hyperlink ref="F17" location="'Scatter graphs'!A1" display="Scatter graphs" xr:uid="{00000000-0004-0000-0100-000024000000}"/>
    <hyperlink ref="D21:E21" location="'DIrect and inverse proportion'!A1" display="Direct and inverse proportion" xr:uid="{00000000-0004-0000-0100-000025000000}"/>
    <hyperlink ref="I23" location="'Algebraic fractions'!A1" display="Algebraic fractions" xr:uid="{00000000-0004-0000-0100-000026000000}"/>
    <hyperlink ref="B4:C4" location="'Angles, scales and bearings'!A1" display="Scale diagrams and bearings" xr:uid="{00000000-0004-0000-0100-000027000000}"/>
    <hyperlink ref="F4:G4" location="'Basic algebra review'!A1" display="Basic algebra" xr:uid="{00000000-0004-0000-0100-000028000000}"/>
    <hyperlink ref="D4" location="'Basic number'!A1" display="'Basic number'!A1" xr:uid="{00000000-0004-0000-0100-000029000000}"/>
    <hyperlink ref="E4" location="'Factors and multiples'!A1" display="Basic algebra review" xr:uid="{00000000-0004-0000-0100-00002A000000}"/>
    <hyperlink ref="H4" location="'Fractions and decimals'!A1" display="Basic fractions" xr:uid="{00000000-0004-0000-0100-00002B000000}"/>
    <hyperlink ref="B6:D6" location="'Collecting and representing '!A1" display="Collecting and representing data" xr:uid="{00000000-0004-0000-0100-00002C000000}"/>
    <hyperlink ref="D8:E8" location="'CIrcumference and area'!A1" display="Circumference and area" xr:uid="{00000000-0004-0000-0100-00002D000000}"/>
    <hyperlink ref="I10:J10" location="Transformations!A1" display="Transformations" xr:uid="{00000000-0004-0000-0100-00002E000000}"/>
    <hyperlink ref="I8" location="'Ratio and proportion'!A1" display="Ratio and proportion" xr:uid="{00000000-0004-0000-0100-00002F000000}"/>
    <hyperlink ref="D12" location="'Basic percentages'!A1" display="Calculating with percentages" xr:uid="{00000000-0004-0000-0100-000030000000}"/>
    <hyperlink ref="E12" location="Measures!A1" display="Measures" xr:uid="{00000000-0004-0000-0100-000031000000}"/>
    <hyperlink ref="F17:H17" location="Quadratics!A1" display="Algebra: quadratics, rearranging formulae and identities" xr:uid="{00000000-0004-0000-0100-000032000000}"/>
    <hyperlink ref="E19" location="'Further equations and graphs'!A1" display="Algebra and graphs (1)" xr:uid="{00000000-0004-0000-0100-000033000000}"/>
    <hyperlink ref="A21:C21" location="'Sketching graphs'!A1" display="Sketching graphs" xr:uid="{00000000-0004-0000-0100-000034000000}"/>
    <hyperlink ref="I21" location="Trigonometry!A1" display="Trigonometry" xr:uid="{00000000-0004-0000-0100-000035000000}"/>
    <hyperlink ref="B23:D23" location="'Quadratic graphs'!A1" display="Quadratic graphs" xr:uid="{00000000-0004-0000-0100-000036000000}"/>
    <hyperlink ref="I23:J23" location="Vectors!A1" display="Algebraic fractions" xr:uid="{00000000-0004-0000-0100-000037000000}"/>
    <hyperlink ref="J12" location="'Stats measures'!A1" display="Statistical measures / constructions" xr:uid="{110EE00C-37C3-4E95-8FCF-1524A67096EE}"/>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600"/>
  </sheetPr>
  <dimension ref="A1:K25"/>
  <sheetViews>
    <sheetView tabSelected="1" zoomScale="80" zoomScaleNormal="80" workbookViewId="0">
      <selection activeCell="J12" sqref="J12"/>
    </sheetView>
  </sheetViews>
  <sheetFormatPr defaultColWidth="9" defaultRowHeight="14.4" x14ac:dyDescent="0.3"/>
  <cols>
    <col min="1" max="1" width="22.109375" customWidth="1"/>
    <col min="2" max="2" width="11.109375" customWidth="1"/>
    <col min="3" max="3" width="11.21875" customWidth="1"/>
    <col min="4" max="5" width="22.109375" customWidth="1"/>
    <col min="6" max="6" width="11.109375" customWidth="1"/>
    <col min="7" max="7" width="10.88671875" customWidth="1"/>
    <col min="8" max="11" width="22.109375" customWidth="1"/>
  </cols>
  <sheetData>
    <row r="1" spans="1:11" ht="30" x14ac:dyDescent="0.5">
      <c r="A1" s="138" t="s">
        <v>266</v>
      </c>
      <c r="B1" s="138"/>
      <c r="C1" s="138"/>
      <c r="D1" s="138"/>
      <c r="E1" s="138"/>
      <c r="F1" s="138"/>
      <c r="G1" s="138"/>
      <c r="H1" s="138"/>
      <c r="I1" s="138"/>
      <c r="J1" s="138"/>
      <c r="K1" s="138"/>
    </row>
    <row r="2" spans="1:11" ht="26.4" thickBot="1" x14ac:dyDescent="0.35">
      <c r="E2" s="130" t="s">
        <v>13</v>
      </c>
      <c r="F2" s="131"/>
      <c r="G2" s="131"/>
      <c r="H2" s="131"/>
    </row>
    <row r="3" spans="1:11" ht="15.75" customHeight="1" thickBot="1" x14ac:dyDescent="0.35">
      <c r="A3" s="43">
        <v>42618</v>
      </c>
      <c r="B3" s="108">
        <f>A3+7</f>
        <v>42625</v>
      </c>
      <c r="C3" s="129"/>
      <c r="D3" s="44">
        <f>B3+7</f>
        <v>42632</v>
      </c>
      <c r="E3" s="44">
        <f>D3+7</f>
        <v>42639</v>
      </c>
      <c r="F3" s="122">
        <f>E3+7</f>
        <v>42646</v>
      </c>
      <c r="G3" s="123"/>
      <c r="H3" s="44">
        <f>F3+7</f>
        <v>42653</v>
      </c>
      <c r="I3" s="44">
        <f>H3+7</f>
        <v>42660</v>
      </c>
      <c r="J3" s="46">
        <f>I3+7</f>
        <v>42667</v>
      </c>
      <c r="K3" s="47">
        <f>J3+7</f>
        <v>42674</v>
      </c>
    </row>
    <row r="4" spans="1:11" s="32" customFormat="1" ht="75.75" customHeight="1" thickBot="1" x14ac:dyDescent="0.35">
      <c r="A4" s="98" t="s">
        <v>20</v>
      </c>
      <c r="B4" s="99"/>
      <c r="C4" s="144" t="s">
        <v>21</v>
      </c>
      <c r="D4" s="145"/>
      <c r="E4" s="100" t="s">
        <v>81</v>
      </c>
      <c r="F4" s="101"/>
      <c r="G4" s="144" t="s">
        <v>22</v>
      </c>
      <c r="H4" s="145"/>
      <c r="I4" s="34" t="s">
        <v>23</v>
      </c>
      <c r="J4" s="45" t="s">
        <v>258</v>
      </c>
      <c r="K4" s="38" t="s">
        <v>24</v>
      </c>
    </row>
    <row r="5" spans="1:11" ht="15" thickBot="1" x14ac:dyDescent="0.35">
      <c r="A5" s="48">
        <f>K3+7</f>
        <v>42681</v>
      </c>
      <c r="B5" s="125">
        <f>A5+7</f>
        <v>42688</v>
      </c>
      <c r="C5" s="126"/>
      <c r="D5" s="49">
        <f>B5+7</f>
        <v>42695</v>
      </c>
      <c r="E5" s="49">
        <f>D5+7</f>
        <v>42702</v>
      </c>
      <c r="F5" s="127">
        <f>E5+7</f>
        <v>42709</v>
      </c>
      <c r="G5" s="128"/>
      <c r="H5" s="50">
        <f>F5+7</f>
        <v>42716</v>
      </c>
      <c r="I5" s="53">
        <f>H5+7</f>
        <v>42723</v>
      </c>
      <c r="J5" s="52">
        <f>I5+7</f>
        <v>42730</v>
      </c>
      <c r="K5" s="51">
        <f>J5+7</f>
        <v>42737</v>
      </c>
    </row>
    <row r="6" spans="1:11" s="32" customFormat="1" ht="75.75" customHeight="1" thickBot="1" x14ac:dyDescent="0.35">
      <c r="A6" s="139" t="s">
        <v>25</v>
      </c>
      <c r="B6" s="140"/>
      <c r="C6" s="141"/>
      <c r="D6" s="33" t="s">
        <v>26</v>
      </c>
      <c r="E6" s="39" t="s">
        <v>27</v>
      </c>
      <c r="F6" s="117" t="s">
        <v>261</v>
      </c>
      <c r="G6" s="118"/>
      <c r="H6" s="119"/>
      <c r="I6" s="120" t="s">
        <v>262</v>
      </c>
      <c r="J6" s="121"/>
      <c r="K6" s="35" t="s">
        <v>28</v>
      </c>
    </row>
    <row r="7" spans="1:11" ht="15" thickBot="1" x14ac:dyDescent="0.35">
      <c r="A7" s="48">
        <f>K5+7</f>
        <v>42744</v>
      </c>
      <c r="B7" s="122">
        <f>A7+7</f>
        <v>42751</v>
      </c>
      <c r="C7" s="123"/>
      <c r="D7" s="54">
        <f>B7+7</f>
        <v>42758</v>
      </c>
      <c r="E7" s="49">
        <f>D7+7</f>
        <v>42765</v>
      </c>
      <c r="F7" s="122">
        <f>E7+7</f>
        <v>42772</v>
      </c>
      <c r="G7" s="123"/>
      <c r="H7" s="55">
        <f>F7+7</f>
        <v>42779</v>
      </c>
      <c r="I7" s="49">
        <f>H7+7</f>
        <v>42786</v>
      </c>
      <c r="J7" s="49">
        <f>I7+7</f>
        <v>42793</v>
      </c>
      <c r="K7" s="56">
        <f>J7+7</f>
        <v>42800</v>
      </c>
    </row>
    <row r="8" spans="1:11" s="32" customFormat="1" ht="75.75" customHeight="1" thickBot="1" x14ac:dyDescent="0.35">
      <c r="A8" s="35" t="s">
        <v>28</v>
      </c>
      <c r="B8" s="146" t="s">
        <v>29</v>
      </c>
      <c r="C8" s="147"/>
      <c r="D8" s="34" t="s">
        <v>30</v>
      </c>
      <c r="E8" s="82" t="s">
        <v>31</v>
      </c>
      <c r="F8" s="98" t="s">
        <v>120</v>
      </c>
      <c r="G8" s="99"/>
      <c r="H8" s="57" t="s">
        <v>258</v>
      </c>
      <c r="I8" s="33" t="s">
        <v>32</v>
      </c>
      <c r="J8" s="76" t="s">
        <v>7</v>
      </c>
      <c r="K8" s="38" t="s">
        <v>8</v>
      </c>
    </row>
    <row r="9" spans="1:11" ht="15" thickBot="1" x14ac:dyDescent="0.35">
      <c r="A9" s="58">
        <f>K7+7</f>
        <v>42807</v>
      </c>
      <c r="B9" s="110">
        <f>A9+7</f>
        <v>42814</v>
      </c>
      <c r="C9" s="111"/>
      <c r="D9" s="59">
        <f>B9+7</f>
        <v>42821</v>
      </c>
      <c r="E9" s="60">
        <f>D9+7</f>
        <v>42828</v>
      </c>
      <c r="F9" s="112">
        <f>E9+7</f>
        <v>42835</v>
      </c>
      <c r="G9" s="113"/>
      <c r="H9" s="61">
        <f>F9+7</f>
        <v>42842</v>
      </c>
      <c r="I9" s="62">
        <f>H9+7</f>
        <v>42849</v>
      </c>
      <c r="J9" s="63">
        <f>I9+7</f>
        <v>42856</v>
      </c>
      <c r="K9" s="64">
        <f>J9+7</f>
        <v>42863</v>
      </c>
    </row>
    <row r="10" spans="1:11" s="32" customFormat="1" ht="75.75" customHeight="1" thickBot="1" x14ac:dyDescent="0.35">
      <c r="A10" s="36" t="s">
        <v>33</v>
      </c>
      <c r="B10" s="135" t="s">
        <v>34</v>
      </c>
      <c r="C10" s="136"/>
      <c r="D10" s="75" t="s">
        <v>15</v>
      </c>
      <c r="E10" s="103" t="s">
        <v>263</v>
      </c>
      <c r="F10" s="104"/>
      <c r="G10" s="105"/>
      <c r="H10" s="37" t="s">
        <v>10</v>
      </c>
      <c r="I10" s="142" t="s">
        <v>144</v>
      </c>
      <c r="J10" s="91"/>
      <c r="K10" s="35" t="s">
        <v>35</v>
      </c>
    </row>
    <row r="11" spans="1:11" ht="15" thickBot="1" x14ac:dyDescent="0.35">
      <c r="A11" s="65">
        <f>K9+7</f>
        <v>42870</v>
      </c>
      <c r="B11" s="106">
        <f>A11+7</f>
        <v>42877</v>
      </c>
      <c r="C11" s="107"/>
      <c r="D11" s="43">
        <f>B11+7</f>
        <v>42884</v>
      </c>
      <c r="E11" s="43">
        <f>D11+7</f>
        <v>42891</v>
      </c>
      <c r="F11" s="108">
        <f>E11+7</f>
        <v>42898</v>
      </c>
      <c r="G11" s="109"/>
      <c r="H11" s="43">
        <f>F11+7</f>
        <v>42905</v>
      </c>
      <c r="I11" s="66">
        <f>H11+7</f>
        <v>42912</v>
      </c>
      <c r="J11" s="54">
        <f>I11+7</f>
        <v>42919</v>
      </c>
      <c r="K11" s="56">
        <f>J11+7</f>
        <v>42926</v>
      </c>
    </row>
    <row r="12" spans="1:11" s="32" customFormat="1" ht="75" customHeight="1" thickBot="1" x14ac:dyDescent="0.35">
      <c r="A12" s="40" t="s">
        <v>36</v>
      </c>
      <c r="B12" s="92" t="s">
        <v>258</v>
      </c>
      <c r="C12" s="93"/>
      <c r="D12" s="94" t="s">
        <v>264</v>
      </c>
      <c r="E12" s="95"/>
      <c r="F12" s="95"/>
      <c r="G12" s="95"/>
      <c r="H12" s="143"/>
      <c r="I12" s="41" t="s">
        <v>37</v>
      </c>
      <c r="J12" s="153" t="s">
        <v>265</v>
      </c>
      <c r="K12" s="42" t="s">
        <v>153</v>
      </c>
    </row>
    <row r="15" spans="1:11" ht="26.4" thickBot="1" x14ac:dyDescent="0.35">
      <c r="E15" s="130" t="s">
        <v>14</v>
      </c>
      <c r="F15" s="131"/>
      <c r="G15" s="131"/>
      <c r="H15" s="131"/>
    </row>
    <row r="16" spans="1:11" ht="15.75" customHeight="1" thickBot="1" x14ac:dyDescent="0.35">
      <c r="A16" s="43">
        <v>42982</v>
      </c>
      <c r="B16" s="108">
        <f>A16+7</f>
        <v>42989</v>
      </c>
      <c r="C16" s="129"/>
      <c r="D16" s="44">
        <f>B16+7</f>
        <v>42996</v>
      </c>
      <c r="E16" s="44">
        <f>D16+7</f>
        <v>43003</v>
      </c>
      <c r="F16" s="122">
        <f>E16+7</f>
        <v>43010</v>
      </c>
      <c r="G16" s="123"/>
      <c r="H16" s="44">
        <f>F16+7</f>
        <v>43017</v>
      </c>
      <c r="I16" s="44">
        <f>H16+7</f>
        <v>43024</v>
      </c>
      <c r="J16" s="46">
        <f>I16+7</f>
        <v>43031</v>
      </c>
      <c r="K16" s="47">
        <f>J16+7</f>
        <v>43038</v>
      </c>
    </row>
    <row r="17" spans="1:11" ht="75.45" customHeight="1" thickBot="1" x14ac:dyDescent="0.35">
      <c r="A17" s="96" t="s">
        <v>38</v>
      </c>
      <c r="B17" s="124"/>
      <c r="C17" s="97"/>
      <c r="D17" s="68" t="s">
        <v>39</v>
      </c>
      <c r="E17" s="114" t="s">
        <v>267</v>
      </c>
      <c r="F17" s="115"/>
      <c r="G17" s="115"/>
      <c r="H17" s="72" t="s">
        <v>175</v>
      </c>
      <c r="I17" s="34" t="s">
        <v>41</v>
      </c>
      <c r="J17" s="45" t="s">
        <v>258</v>
      </c>
      <c r="K17" s="73" t="s">
        <v>16</v>
      </c>
    </row>
    <row r="18" spans="1:11" ht="16.2" customHeight="1" thickBot="1" x14ac:dyDescent="0.35">
      <c r="A18" s="48">
        <f>K16+7</f>
        <v>43045</v>
      </c>
      <c r="B18" s="125">
        <f>A18+7</f>
        <v>43052</v>
      </c>
      <c r="C18" s="126"/>
      <c r="D18" s="49">
        <f>B18+7</f>
        <v>43059</v>
      </c>
      <c r="E18" s="49">
        <f>D18+7</f>
        <v>43066</v>
      </c>
      <c r="F18" s="127">
        <f>E18+7</f>
        <v>43073</v>
      </c>
      <c r="G18" s="128"/>
      <c r="H18" s="50">
        <f>F18+7</f>
        <v>43080</v>
      </c>
      <c r="I18" s="53">
        <f>H18+7</f>
        <v>43087</v>
      </c>
      <c r="J18" s="52">
        <f>I18+7</f>
        <v>43094</v>
      </c>
      <c r="K18" s="51">
        <f>J18+7</f>
        <v>43101</v>
      </c>
    </row>
    <row r="19" spans="1:11" ht="75" customHeight="1" thickBot="1" x14ac:dyDescent="0.35">
      <c r="A19" s="114" t="s">
        <v>42</v>
      </c>
      <c r="B19" s="115"/>
      <c r="C19" s="116"/>
      <c r="D19" s="114" t="s">
        <v>43</v>
      </c>
      <c r="E19" s="116"/>
      <c r="F19" s="117" t="s">
        <v>261</v>
      </c>
      <c r="G19" s="118"/>
      <c r="H19" s="119"/>
      <c r="I19" s="120" t="s">
        <v>262</v>
      </c>
      <c r="J19" s="121"/>
      <c r="K19" s="34" t="s">
        <v>44</v>
      </c>
    </row>
    <row r="20" spans="1:11" ht="15.75" customHeight="1" thickBot="1" x14ac:dyDescent="0.35">
      <c r="A20" s="48">
        <f>K18+7</f>
        <v>43108</v>
      </c>
      <c r="B20" s="122">
        <f>A20+7</f>
        <v>43115</v>
      </c>
      <c r="C20" s="123"/>
      <c r="D20" s="49">
        <f>B20+7</f>
        <v>43122</v>
      </c>
      <c r="E20" s="49">
        <f>D20+7</f>
        <v>43129</v>
      </c>
      <c r="F20" s="122">
        <f>E20+7</f>
        <v>43136</v>
      </c>
      <c r="G20" s="123"/>
      <c r="H20" s="55">
        <f>F20+7</f>
        <v>43143</v>
      </c>
      <c r="I20" s="49">
        <f>H20+7</f>
        <v>43150</v>
      </c>
      <c r="J20" s="49">
        <f>I20+7</f>
        <v>43157</v>
      </c>
      <c r="K20" s="56">
        <f>J20+7</f>
        <v>43164</v>
      </c>
    </row>
    <row r="21" spans="1:11" ht="75" customHeight="1" thickBot="1" x14ac:dyDescent="0.35">
      <c r="A21" s="74" t="s">
        <v>45</v>
      </c>
      <c r="B21" s="148" t="s">
        <v>46</v>
      </c>
      <c r="C21" s="149"/>
      <c r="D21" s="98" t="s">
        <v>268</v>
      </c>
      <c r="E21" s="99"/>
      <c r="F21" s="96" t="s">
        <v>47</v>
      </c>
      <c r="G21" s="97"/>
      <c r="H21" s="57" t="s">
        <v>258</v>
      </c>
      <c r="I21" s="98" t="s">
        <v>11</v>
      </c>
      <c r="J21" s="99"/>
      <c r="K21" s="73" t="s">
        <v>48</v>
      </c>
    </row>
    <row r="22" spans="1:11" ht="16.5" customHeight="1" thickBot="1" x14ac:dyDescent="0.35">
      <c r="A22" s="58">
        <f>K20+7</f>
        <v>43171</v>
      </c>
      <c r="B22" s="110">
        <f>A22+7</f>
        <v>43178</v>
      </c>
      <c r="C22" s="111"/>
      <c r="D22" s="50">
        <f>B22+7</f>
        <v>43185</v>
      </c>
      <c r="E22" s="60">
        <f>D22+7</f>
        <v>43192</v>
      </c>
      <c r="F22" s="112">
        <f>E22+7</f>
        <v>43199</v>
      </c>
      <c r="G22" s="113"/>
      <c r="H22" s="61">
        <f>F22+7</f>
        <v>43206</v>
      </c>
      <c r="I22" s="62">
        <f>H22+7</f>
        <v>43213</v>
      </c>
      <c r="J22" s="63">
        <f>I22+7</f>
        <v>43220</v>
      </c>
      <c r="K22" s="64">
        <f>J22+7</f>
        <v>43227</v>
      </c>
    </row>
    <row r="23" spans="1:11" ht="75" customHeight="1" thickBot="1" x14ac:dyDescent="0.35">
      <c r="A23" s="75" t="s">
        <v>49</v>
      </c>
      <c r="B23" s="90" t="s">
        <v>50</v>
      </c>
      <c r="C23" s="91"/>
      <c r="D23" s="74" t="s">
        <v>269</v>
      </c>
      <c r="E23" s="103" t="s">
        <v>263</v>
      </c>
      <c r="F23" s="104"/>
      <c r="G23" s="105"/>
      <c r="H23" s="114" t="s">
        <v>52</v>
      </c>
      <c r="I23" s="116"/>
      <c r="J23" s="77" t="s">
        <v>53</v>
      </c>
      <c r="K23" s="78" t="s">
        <v>270</v>
      </c>
    </row>
    <row r="24" spans="1:11" ht="16.2" customHeight="1" thickBot="1" x14ac:dyDescent="0.35">
      <c r="A24" s="65">
        <f>K22+7</f>
        <v>43234</v>
      </c>
      <c r="B24" s="106">
        <f>A24+7</f>
        <v>43241</v>
      </c>
      <c r="C24" s="107"/>
      <c r="D24" s="43">
        <f>B24+7</f>
        <v>43248</v>
      </c>
      <c r="E24" s="43">
        <f>D24+7</f>
        <v>43255</v>
      </c>
      <c r="F24" s="108">
        <f>E24+7</f>
        <v>43262</v>
      </c>
      <c r="G24" s="109"/>
      <c r="H24" s="43">
        <f>F24+7</f>
        <v>43269</v>
      </c>
      <c r="I24" s="50">
        <f>H24+7</f>
        <v>43276</v>
      </c>
      <c r="J24" s="49">
        <f>I24+7</f>
        <v>43283</v>
      </c>
      <c r="K24" s="51">
        <f>J24+7</f>
        <v>43290</v>
      </c>
    </row>
    <row r="25" spans="1:11" ht="75" customHeight="1" thickBot="1" x14ac:dyDescent="0.35">
      <c r="A25" s="78" t="s">
        <v>270</v>
      </c>
      <c r="B25" s="92" t="s">
        <v>258</v>
      </c>
      <c r="C25" s="93"/>
      <c r="D25" s="94" t="s">
        <v>264</v>
      </c>
      <c r="E25" s="95"/>
      <c r="F25" s="95"/>
      <c r="G25" s="95"/>
      <c r="H25" s="95"/>
      <c r="I25" s="81"/>
      <c r="J25" s="80"/>
      <c r="K25" s="79"/>
    </row>
  </sheetData>
  <mergeCells count="52">
    <mergeCell ref="B25:C25"/>
    <mergeCell ref="D25:H25"/>
    <mergeCell ref="A1:K1"/>
    <mergeCell ref="B23:C23"/>
    <mergeCell ref="E23:G23"/>
    <mergeCell ref="B24:C24"/>
    <mergeCell ref="F24:G24"/>
    <mergeCell ref="B20:C20"/>
    <mergeCell ref="F20:G20"/>
    <mergeCell ref="B21:C21"/>
    <mergeCell ref="F21:G21"/>
    <mergeCell ref="B22:C22"/>
    <mergeCell ref="F22:G22"/>
    <mergeCell ref="B18:C18"/>
    <mergeCell ref="F18:G18"/>
    <mergeCell ref="I6:J6"/>
    <mergeCell ref="E15:H15"/>
    <mergeCell ref="B16:C16"/>
    <mergeCell ref="F16:G16"/>
    <mergeCell ref="F9:G9"/>
    <mergeCell ref="B7:C7"/>
    <mergeCell ref="B8:C8"/>
    <mergeCell ref="F7:G7"/>
    <mergeCell ref="B9:C9"/>
    <mergeCell ref="E2:H2"/>
    <mergeCell ref="E4:F4"/>
    <mergeCell ref="G4:H4"/>
    <mergeCell ref="F8:G8"/>
    <mergeCell ref="A6:C6"/>
    <mergeCell ref="F6:H6"/>
    <mergeCell ref="B3:C3"/>
    <mergeCell ref="A4:B4"/>
    <mergeCell ref="C4:D4"/>
    <mergeCell ref="F3:G3"/>
    <mergeCell ref="B5:C5"/>
    <mergeCell ref="F5:G5"/>
    <mergeCell ref="I10:J10"/>
    <mergeCell ref="B11:C11"/>
    <mergeCell ref="F11:G11"/>
    <mergeCell ref="D12:H12"/>
    <mergeCell ref="E10:G10"/>
    <mergeCell ref="B12:C12"/>
    <mergeCell ref="B10:C10"/>
    <mergeCell ref="H23:I23"/>
    <mergeCell ref="A17:C17"/>
    <mergeCell ref="E17:G17"/>
    <mergeCell ref="D19:E19"/>
    <mergeCell ref="D21:E21"/>
    <mergeCell ref="I21:J21"/>
    <mergeCell ref="A19:C19"/>
    <mergeCell ref="F19:H19"/>
    <mergeCell ref="I19:J19"/>
  </mergeCells>
  <hyperlinks>
    <hyperlink ref="K8" location="Surds!A1" display="Basic probability" xr:uid="{00000000-0004-0000-0200-000000000000}"/>
    <hyperlink ref="I8:J8" location="Graphs!A1" display="Graphs" xr:uid="{00000000-0004-0000-0200-000001000000}"/>
    <hyperlink ref="F8:G8" location="'Properties of polygons'!A1" display="Properties of polygons" xr:uid="{00000000-0004-0000-0200-000002000000}"/>
    <hyperlink ref="A8" location="'Perimeter and area'!A1" display="Perimeter and area" xr:uid="{00000000-0004-0000-0200-000003000000}"/>
    <hyperlink ref="K6" location="'Perimeter and area'!A1" display="Perimeter and area" xr:uid="{00000000-0004-0000-0200-000004000000}"/>
    <hyperlink ref="D6:E6" location="'Pythag &amp; Trig'!A1" display="Pythagoras &amp; Trig" xr:uid="{00000000-0004-0000-0200-000005000000}"/>
    <hyperlink ref="A6" location="Transformations!A1" display="Transformations" xr:uid="{00000000-0004-0000-0200-000006000000}"/>
    <hyperlink ref="A4" location="'Angles, scales and bearings'!A1" display="Angles, scale diagrams and bearings" xr:uid="{00000000-0004-0000-0200-000007000000}"/>
    <hyperlink ref="C4:D4" location="'Factors and multiples'!A1" display="Basic number, factors and multiples" xr:uid="{00000000-0004-0000-0200-000008000000}"/>
    <hyperlink ref="E4:F4" location="'Basic algebra review'!A1" display="Basic algebra review" xr:uid="{00000000-0004-0000-0200-000009000000}"/>
    <hyperlink ref="G4:H4" location="'Fractions and decimals'!A1" display="Fractions and decimals" xr:uid="{00000000-0004-0000-0200-00000A000000}"/>
    <hyperlink ref="I4" location="'Coordinates and linear graphs'!A1" display="Coordinates and linear graphs" xr:uid="{00000000-0004-0000-0200-00000B000000}"/>
    <hyperlink ref="K4" location="Rounding!A1" display="Rounding" xr:uid="{00000000-0004-0000-0200-00000C000000}"/>
    <hyperlink ref="A6:C6" location="'Collecting and representing '!A1" display="Collecting and representing data" xr:uid="{00000000-0004-0000-0200-00000D000000}"/>
    <hyperlink ref="D6" location="Sequences!A1" display="Sequences" xr:uid="{00000000-0004-0000-0200-00000E000000}"/>
    <hyperlink ref="E6" location="'Basic percentages'!A1" display="'Basic percentages'!A1" xr:uid="{00000000-0004-0000-0200-00000F000000}"/>
    <hyperlink ref="E8" location="'Ratio and proportion'!A1" display="Ratio and proportion" xr:uid="{00000000-0004-0000-0200-000010000000}"/>
    <hyperlink ref="D8" location="'Real life graphs'!A1" display="Real life graphs" xr:uid="{00000000-0004-0000-0200-000011000000}"/>
    <hyperlink ref="I8" location="Equations!A1" display="Equations" xr:uid="{00000000-0004-0000-0200-000012000000}"/>
    <hyperlink ref="J8" location="Indices!A1" display="Indices!A1" xr:uid="{00000000-0004-0000-0200-000013000000}"/>
    <hyperlink ref="A10" location="'Basic probability'!A1" display="Basic probability" xr:uid="{00000000-0004-0000-0200-000014000000}"/>
    <hyperlink ref="B10:C10" location="'Standard form'!A1" display="Standard form" xr:uid="{00000000-0004-0000-0200-000015000000}"/>
    <hyperlink ref="D10" location="Measures!A1" display="Measures" xr:uid="{00000000-0004-0000-0200-000016000000}"/>
    <hyperlink ref="H10" location="Transformations!A1" display="Transformations" xr:uid="{00000000-0004-0000-0200-000017000000}"/>
    <hyperlink ref="I10:J10" location="'Congruence and cimilarity'!A1" display="Congruence and similarity" xr:uid="{00000000-0004-0000-0200-000018000000}"/>
    <hyperlink ref="K10" location="'2D of 3D shapes'!A1" display="2D representations of 3D shapes" xr:uid="{00000000-0004-0000-0200-000019000000}"/>
    <hyperlink ref="A12" location="'Basic percentages'!A1" display="Calculating with percentages" xr:uid="{00000000-0004-0000-0200-00001A000000}"/>
    <hyperlink ref="K12" location="'Constructions and loci'!A1" display="Constructions and loci" xr:uid="{00000000-0004-0000-0200-00001B000000}"/>
    <hyperlink ref="I12" location="'Stats measures'!A1" display="Statistical measures" xr:uid="{00000000-0004-0000-0200-00001C000000}"/>
    <hyperlink ref="K21" location="'Transforming functions'!A1" display="Surds" xr:uid="{00000000-0004-0000-0200-00001D000000}"/>
    <hyperlink ref="F21:G21" location="'Growth and decay'!A1" display="Growth and decay" xr:uid="{00000000-0004-0000-0200-00001E000000}"/>
    <hyperlink ref="A21" location="'DIrect and inverse proportion'!A1" display="Perimeter and area" xr:uid="{00000000-0004-0000-0200-00001F000000}"/>
    <hyperlink ref="K19" location="'Sketching graphs'!A1" display="Sketching graphs" xr:uid="{00000000-0004-0000-0200-000020000000}"/>
    <hyperlink ref="A19" location="Transformations!A1" display="Transformations" xr:uid="{00000000-0004-0000-0200-000021000000}"/>
    <hyperlink ref="A17" location="'Angles, scales and bearings'!A1" display="Angles, scale diagrams and bearings" xr:uid="{00000000-0004-0000-0200-000022000000}"/>
    <hyperlink ref="E17:F17" location="'Basic algebra review'!A1" display="Basic algebra review" xr:uid="{00000000-0004-0000-0200-000023000000}"/>
    <hyperlink ref="I17" location="'Numerical methods'!A1" display="Numerical methods" xr:uid="{00000000-0004-0000-0200-000024000000}"/>
    <hyperlink ref="K17" location="'Equation of a circle'!A1" display="Rounding" xr:uid="{00000000-0004-0000-0200-000025000000}"/>
    <hyperlink ref="A19:C19" location="'Further equations and graphs'!A1" display="Collecting and representing data" xr:uid="{00000000-0004-0000-0200-000026000000}"/>
    <hyperlink ref="D19" location="Sequences!A1" display="Sequences" xr:uid="{00000000-0004-0000-0200-000027000000}"/>
    <hyperlink ref="D21" location="'Real life graphs'!A1" display="Real life graphs" xr:uid="{00000000-0004-0000-0200-000028000000}"/>
    <hyperlink ref="I21" location="Equations!A1" display="Equations" xr:uid="{00000000-0004-0000-0200-000029000000}"/>
    <hyperlink ref="A23" location="'Sine and Cosine rules'!A1" display="Sine and cosine rules" xr:uid="{00000000-0004-0000-0200-00002A000000}"/>
    <hyperlink ref="B23:C23" location="'Circle theorems'!A1" display="Circle theorems" xr:uid="{00000000-0004-0000-0200-00002B000000}"/>
    <hyperlink ref="D23" location="'Gradients and rates of change'!A1" display="Gradients and rates of change" xr:uid="{00000000-0004-0000-0200-00002C000000}"/>
    <hyperlink ref="H23" location="Transformations!A1" display="Transformations" xr:uid="{00000000-0004-0000-0200-00002D000000}"/>
    <hyperlink ref="A17:B17" location="Probability!A1" display="Angles, scale diagrams and bearings" xr:uid="{00000000-0004-0000-0200-00002E000000}"/>
    <hyperlink ref="D17" location="Volume!A1" display="Volume" xr:uid="{00000000-0004-0000-0200-00002F000000}"/>
    <hyperlink ref="E17:G17" location="Quadratics!A1" display="Algebra: quadratics, rearranging formulae and identities" xr:uid="{00000000-0004-0000-0200-000030000000}"/>
    <hyperlink ref="H17" location="'Scatter graphs'!A1" display="Scatter graphs" xr:uid="{00000000-0004-0000-0200-000031000000}"/>
    <hyperlink ref="D19:E19" location="'Simultaneous equations'!A1" display="Simultaneous equations" xr:uid="{00000000-0004-0000-0200-000032000000}"/>
    <hyperlink ref="B21:C21" location="Inequalities!A1" display="Inequalities" xr:uid="{00000000-0004-0000-0200-000033000000}"/>
    <hyperlink ref="D21:E21" location="'Pythag and basic trig'!A1" display="Pythagoras' theorem and basic trigonometry" xr:uid="{00000000-0004-0000-0200-000034000000}"/>
    <hyperlink ref="J23" location="'Algebraic fractions'!A1" display="Algebraic fractions" xr:uid="{00000000-0004-0000-0200-000035000000}"/>
    <hyperlink ref="H23:I23" location="'Pre-calculus'!A1" display="Pre-calculus and area under a curve" xr:uid="{00000000-0004-0000-0200-000036000000}"/>
    <hyperlink ref="I21:J21" location="Vectors!A1" display="Equations" xr:uid="{00000000-0004-0000-0200-000037000000}"/>
    <hyperlink ref="J12" location="'Stats measures'!A1" display="Statistical measures / constructions" xr:uid="{7E2F996D-094D-4629-B43E-121256CA2FD8}"/>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4" tint="0.39997558519241921"/>
    <pageSetUpPr fitToPage="1"/>
  </sheetPr>
  <dimension ref="B1:F15"/>
  <sheetViews>
    <sheetView zoomScaleNormal="100" workbookViewId="0">
      <selection activeCell="F8" sqref="F8"/>
    </sheetView>
  </sheetViews>
  <sheetFormatPr defaultRowHeight="14.4" x14ac:dyDescent="0.3"/>
  <cols>
    <col min="1" max="1" width="4" customWidth="1"/>
    <col min="2" max="2" width="43.21875" style="19" customWidth="1"/>
    <col min="3" max="3" width="9.109375"/>
    <col min="4" max="5" width="7.21875" style="1" customWidth="1"/>
    <col min="6" max="6" width="22.77734375" customWidth="1"/>
  </cols>
  <sheetData>
    <row r="1" spans="2:6" ht="21.6" thickBot="1" x14ac:dyDescent="0.45">
      <c r="B1" s="18" t="s">
        <v>5</v>
      </c>
      <c r="C1" s="87" t="s">
        <v>21</v>
      </c>
      <c r="D1" s="88"/>
      <c r="E1" s="88"/>
      <c r="F1" s="89"/>
    </row>
    <row r="3" spans="2:6" x14ac:dyDescent="0.3">
      <c r="B3" s="20" t="s">
        <v>2</v>
      </c>
      <c r="C3" s="3" t="s">
        <v>3</v>
      </c>
      <c r="D3" s="10" t="s">
        <v>1</v>
      </c>
      <c r="E3" s="10" t="s">
        <v>4</v>
      </c>
      <c r="F3" s="3" t="s">
        <v>274</v>
      </c>
    </row>
    <row r="4" spans="2:6" x14ac:dyDescent="0.3">
      <c r="B4" s="16" t="s">
        <v>61</v>
      </c>
      <c r="C4" s="2"/>
      <c r="D4" s="5" t="s">
        <v>234</v>
      </c>
      <c r="E4" s="6" t="s">
        <v>235</v>
      </c>
      <c r="F4" s="6" t="s">
        <v>275</v>
      </c>
    </row>
    <row r="5" spans="2:6" x14ac:dyDescent="0.3">
      <c r="B5" s="16" t="s">
        <v>62</v>
      </c>
      <c r="C5" s="2"/>
      <c r="D5" s="5" t="s">
        <v>234</v>
      </c>
      <c r="E5" s="5" t="s">
        <v>235</v>
      </c>
      <c r="F5" s="5" t="s">
        <v>276</v>
      </c>
    </row>
    <row r="6" spans="2:6" ht="43.2" x14ac:dyDescent="0.3">
      <c r="B6" s="16" t="s">
        <v>63</v>
      </c>
      <c r="C6" s="2"/>
      <c r="D6" s="5" t="s">
        <v>234</v>
      </c>
      <c r="E6" s="5" t="s">
        <v>235</v>
      </c>
      <c r="F6" s="5"/>
    </row>
    <row r="7" spans="2:6" ht="43.2" x14ac:dyDescent="0.3">
      <c r="B7" s="16" t="s">
        <v>64</v>
      </c>
      <c r="C7" s="2"/>
      <c r="D7" s="5" t="s">
        <v>234</v>
      </c>
      <c r="E7" s="5" t="s">
        <v>235</v>
      </c>
      <c r="F7" s="5" t="s">
        <v>277</v>
      </c>
    </row>
    <row r="8" spans="2:6" ht="57.6" x14ac:dyDescent="0.3">
      <c r="B8" s="16" t="s">
        <v>65</v>
      </c>
      <c r="C8" s="2"/>
      <c r="D8" s="5" t="s">
        <v>234</v>
      </c>
      <c r="E8" s="5" t="s">
        <v>235</v>
      </c>
      <c r="F8" s="5"/>
    </row>
    <row r="9" spans="2:6" x14ac:dyDescent="0.3">
      <c r="B9" s="16" t="s">
        <v>66</v>
      </c>
      <c r="C9" s="2"/>
      <c r="D9" s="5" t="s">
        <v>234</v>
      </c>
      <c r="E9" s="5" t="s">
        <v>235</v>
      </c>
      <c r="F9" s="13"/>
    </row>
    <row r="10" spans="2:6" ht="43.2" x14ac:dyDescent="0.3">
      <c r="B10" s="16" t="s">
        <v>67</v>
      </c>
      <c r="C10" s="2"/>
      <c r="D10" s="5" t="s">
        <v>234</v>
      </c>
      <c r="E10" s="5" t="s">
        <v>235</v>
      </c>
      <c r="F10" s="5"/>
    </row>
    <row r="11" spans="2:6" ht="86.4" x14ac:dyDescent="0.3">
      <c r="B11" s="16" t="s">
        <v>68</v>
      </c>
      <c r="C11" s="2"/>
      <c r="D11" s="5"/>
      <c r="E11" s="5" t="s">
        <v>235</v>
      </c>
      <c r="F11" s="13"/>
    </row>
    <row r="12" spans="2:6" ht="28.8" x14ac:dyDescent="0.3">
      <c r="B12" s="16" t="s">
        <v>69</v>
      </c>
      <c r="C12" s="2"/>
      <c r="D12" s="5"/>
      <c r="E12" s="5" t="s">
        <v>235</v>
      </c>
      <c r="F12" s="13"/>
    </row>
    <row r="14" spans="2:6" x14ac:dyDescent="0.3">
      <c r="B14" s="4" t="s">
        <v>6</v>
      </c>
    </row>
    <row r="15" spans="2:6" ht="14.25" customHeight="1" x14ac:dyDescent="0.3"/>
  </sheetData>
  <mergeCells count="1">
    <mergeCell ref="C1:F1"/>
  </mergeCells>
  <hyperlinks>
    <hyperlink ref="D3" location="Foundation!A1" display="Found" xr:uid="{00000000-0004-0000-0300-000000000000}"/>
    <hyperlink ref="E3" location="Higher!A1" display="High" xr:uid="{00000000-0004-0000-03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4" tint="0.39997558519241921"/>
    <pageSetUpPr fitToPage="1"/>
  </sheetPr>
  <dimension ref="B1:F19"/>
  <sheetViews>
    <sheetView zoomScaleNormal="100" workbookViewId="0">
      <selection activeCell="F3" sqref="F3"/>
    </sheetView>
  </sheetViews>
  <sheetFormatPr defaultRowHeight="14.4" x14ac:dyDescent="0.3"/>
  <cols>
    <col min="1" max="1" width="4" customWidth="1"/>
    <col min="2" max="2" width="43.21875" style="19" customWidth="1"/>
    <col min="3" max="3" width="9.109375"/>
    <col min="4" max="5" width="7.21875" style="1" customWidth="1"/>
    <col min="6" max="6" width="22.77734375" customWidth="1"/>
  </cols>
  <sheetData>
    <row r="1" spans="2:6" ht="21.6" thickBot="1" x14ac:dyDescent="0.45">
      <c r="B1" s="18" t="s">
        <v>5</v>
      </c>
      <c r="C1" s="87" t="s">
        <v>22</v>
      </c>
      <c r="D1" s="88"/>
      <c r="E1" s="88"/>
      <c r="F1" s="89"/>
    </row>
    <row r="3" spans="2:6" x14ac:dyDescent="0.3">
      <c r="B3" s="20" t="s">
        <v>2</v>
      </c>
      <c r="C3" s="3" t="s">
        <v>3</v>
      </c>
      <c r="D3" s="10" t="s">
        <v>1</v>
      </c>
      <c r="E3" s="10" t="s">
        <v>4</v>
      </c>
      <c r="F3" s="3" t="s">
        <v>274</v>
      </c>
    </row>
    <row r="4" spans="2:6" x14ac:dyDescent="0.3">
      <c r="B4" s="14" t="s">
        <v>74</v>
      </c>
      <c r="C4" s="2"/>
      <c r="D4" s="5" t="s">
        <v>234</v>
      </c>
      <c r="E4" s="6" t="s">
        <v>235</v>
      </c>
      <c r="F4" s="13"/>
    </row>
    <row r="5" spans="2:6" ht="57.6" x14ac:dyDescent="0.3">
      <c r="B5" s="16" t="s">
        <v>75</v>
      </c>
      <c r="C5" s="2"/>
      <c r="D5" s="5" t="s">
        <v>234</v>
      </c>
      <c r="E5" s="5" t="s">
        <v>235</v>
      </c>
      <c r="F5" s="13"/>
    </row>
    <row r="6" spans="2:6" ht="43.2" x14ac:dyDescent="0.3">
      <c r="B6" s="16" t="s">
        <v>76</v>
      </c>
      <c r="C6" s="2"/>
      <c r="D6" s="5"/>
      <c r="E6" s="5" t="s">
        <v>235</v>
      </c>
      <c r="F6" s="13"/>
    </row>
    <row r="7" spans="2:6" ht="28.8" x14ac:dyDescent="0.3">
      <c r="B7" s="16" t="s">
        <v>215</v>
      </c>
      <c r="C7" s="2"/>
      <c r="D7" s="5" t="s">
        <v>234</v>
      </c>
      <c r="E7" s="5" t="s">
        <v>235</v>
      </c>
      <c r="F7" s="13"/>
    </row>
    <row r="8" spans="2:6" x14ac:dyDescent="0.3">
      <c r="B8" s="16" t="s">
        <v>77</v>
      </c>
      <c r="C8" s="2"/>
      <c r="D8" s="5" t="s">
        <v>234</v>
      </c>
      <c r="E8" s="5" t="s">
        <v>235</v>
      </c>
      <c r="F8" s="13"/>
    </row>
    <row r="9" spans="2:6" ht="43.2" x14ac:dyDescent="0.3">
      <c r="B9" s="16" t="s">
        <v>78</v>
      </c>
      <c r="C9" s="2"/>
      <c r="D9" s="5" t="s">
        <v>234</v>
      </c>
      <c r="E9" s="5" t="s">
        <v>235</v>
      </c>
      <c r="F9" s="13"/>
    </row>
    <row r="10" spans="2:6" ht="28.8" x14ac:dyDescent="0.3">
      <c r="B10" s="16" t="s">
        <v>79</v>
      </c>
      <c r="C10" s="2"/>
      <c r="D10" s="5"/>
      <c r="E10" s="5" t="s">
        <v>235</v>
      </c>
      <c r="F10" s="13"/>
    </row>
    <row r="11" spans="2:6" x14ac:dyDescent="0.3">
      <c r="B11"/>
      <c r="D11"/>
      <c r="E11"/>
    </row>
    <row r="12" spans="2:6" x14ac:dyDescent="0.3">
      <c r="B12" s="21" t="s">
        <v>6</v>
      </c>
      <c r="D12"/>
      <c r="E12"/>
      <c r="F12" s="19"/>
    </row>
    <row r="13" spans="2:6" x14ac:dyDescent="0.3">
      <c r="D13"/>
      <c r="E13"/>
    </row>
    <row r="14" spans="2:6" x14ac:dyDescent="0.3">
      <c r="D14"/>
      <c r="E14"/>
    </row>
    <row r="15" spans="2:6" x14ac:dyDescent="0.3">
      <c r="D15"/>
      <c r="E15"/>
    </row>
    <row r="16" spans="2:6" x14ac:dyDescent="0.3">
      <c r="D16"/>
      <c r="E16"/>
    </row>
    <row r="17" spans="2:5" x14ac:dyDescent="0.3">
      <c r="D17"/>
      <c r="E17"/>
    </row>
    <row r="19" spans="2:5" x14ac:dyDescent="0.3">
      <c r="B19" s="4"/>
    </row>
  </sheetData>
  <mergeCells count="1">
    <mergeCell ref="C1:F1"/>
  </mergeCells>
  <hyperlinks>
    <hyperlink ref="D3" location="Foundation!A1" display="Found" xr:uid="{00000000-0004-0000-0400-000000000000}"/>
    <hyperlink ref="E3" location="Higher!A1" display="High" xr:uid="{00000000-0004-0000-04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B1:F7"/>
  <sheetViews>
    <sheetView workbookViewId="0">
      <selection activeCell="F3" sqref="F3"/>
    </sheetView>
  </sheetViews>
  <sheetFormatPr defaultRowHeight="14.4" x14ac:dyDescent="0.3"/>
  <cols>
    <col min="1" max="1" width="3.77734375" customWidth="1"/>
    <col min="2" max="2" width="43.109375" customWidth="1"/>
    <col min="6" max="6" width="23.109375" customWidth="1"/>
  </cols>
  <sheetData>
    <row r="1" spans="2:6" ht="21.6" thickBot="1" x14ac:dyDescent="0.45">
      <c r="B1" s="18" t="s">
        <v>5</v>
      </c>
      <c r="C1" s="87" t="s">
        <v>224</v>
      </c>
      <c r="D1" s="88"/>
      <c r="E1" s="88"/>
      <c r="F1" s="89"/>
    </row>
    <row r="2" spans="2:6" x14ac:dyDescent="0.3">
      <c r="B2" s="19"/>
      <c r="D2" s="1"/>
      <c r="E2" s="1"/>
    </row>
    <row r="3" spans="2:6" x14ac:dyDescent="0.3">
      <c r="B3" s="20" t="s">
        <v>2</v>
      </c>
      <c r="C3" s="3" t="s">
        <v>3</v>
      </c>
      <c r="D3" s="10" t="s">
        <v>1</v>
      </c>
      <c r="E3" s="10" t="s">
        <v>4</v>
      </c>
      <c r="F3" s="3" t="s">
        <v>274</v>
      </c>
    </row>
    <row r="4" spans="2:6" ht="86.4" x14ac:dyDescent="0.3">
      <c r="B4" s="16" t="s">
        <v>68</v>
      </c>
      <c r="C4" s="2"/>
      <c r="D4" s="5" t="s">
        <v>234</v>
      </c>
      <c r="E4" s="6" t="s">
        <v>235</v>
      </c>
      <c r="F4" s="13"/>
    </row>
    <row r="5" spans="2:6" x14ac:dyDescent="0.3">
      <c r="B5" s="16" t="s">
        <v>237</v>
      </c>
      <c r="C5" s="2"/>
      <c r="D5" s="5" t="s">
        <v>234</v>
      </c>
      <c r="E5" s="5" t="s">
        <v>235</v>
      </c>
      <c r="F5" s="13"/>
    </row>
    <row r="7" spans="2:6" x14ac:dyDescent="0.3">
      <c r="B7" s="21" t="s">
        <v>6</v>
      </c>
      <c r="F7" s="19"/>
    </row>
  </sheetData>
  <mergeCells count="1">
    <mergeCell ref="C1:F1"/>
  </mergeCells>
  <hyperlinks>
    <hyperlink ref="D3" location="Foundation!A1" display="Found" xr:uid="{00000000-0004-0000-0500-000000000000}"/>
    <hyperlink ref="E3" location="Higher!A1" display="High" xr:uid="{00000000-0004-0000-0500-000001000000}"/>
  </hyperlink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4" tint="0.39997558519241921"/>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7</v>
      </c>
      <c r="D1" s="88"/>
      <c r="E1" s="88"/>
      <c r="F1" s="89"/>
    </row>
    <row r="3" spans="2:6" x14ac:dyDescent="0.3">
      <c r="B3" s="20" t="s">
        <v>2</v>
      </c>
      <c r="C3" s="3" t="s">
        <v>3</v>
      </c>
      <c r="D3" s="10" t="s">
        <v>1</v>
      </c>
      <c r="E3" s="10" t="s">
        <v>4</v>
      </c>
      <c r="F3" s="3" t="s">
        <v>274</v>
      </c>
    </row>
    <row r="4" spans="2:6" ht="28.8" x14ac:dyDescent="0.3">
      <c r="B4" s="16" t="s">
        <v>124</v>
      </c>
      <c r="C4" s="2"/>
      <c r="D4" s="5" t="s">
        <v>234</v>
      </c>
      <c r="E4" s="5" t="s">
        <v>235</v>
      </c>
      <c r="F4" s="5"/>
    </row>
    <row r="5" spans="2:6" x14ac:dyDescent="0.3">
      <c r="B5" s="16" t="s">
        <v>125</v>
      </c>
      <c r="C5" s="2"/>
      <c r="D5" s="5" t="s">
        <v>234</v>
      </c>
      <c r="E5" s="5" t="s">
        <v>235</v>
      </c>
      <c r="F5" s="13"/>
    </row>
    <row r="6" spans="2:6" ht="28.8" x14ac:dyDescent="0.3">
      <c r="B6" s="16" t="s">
        <v>126</v>
      </c>
      <c r="C6" s="2"/>
      <c r="D6" s="5"/>
      <c r="E6" s="5" t="s">
        <v>235</v>
      </c>
      <c r="F6" s="13"/>
    </row>
    <row r="7" spans="2:6" ht="28.8" x14ac:dyDescent="0.3">
      <c r="B7" s="16" t="s">
        <v>127</v>
      </c>
      <c r="C7" s="2"/>
      <c r="D7" s="5" t="s">
        <v>234</v>
      </c>
      <c r="E7" s="5" t="s">
        <v>235</v>
      </c>
      <c r="F7" s="13"/>
    </row>
    <row r="8" spans="2:6" x14ac:dyDescent="0.3">
      <c r="D8"/>
      <c r="E8"/>
    </row>
    <row r="9" spans="2:6" x14ac:dyDescent="0.3">
      <c r="B9" s="4" t="s">
        <v>6</v>
      </c>
    </row>
    <row r="12" spans="2:6" x14ac:dyDescent="0.3">
      <c r="F12" s="19"/>
    </row>
  </sheetData>
  <mergeCells count="1">
    <mergeCell ref="C1:F1"/>
  </mergeCells>
  <hyperlinks>
    <hyperlink ref="D3" location="Foundation!A1" display="Found" xr:uid="{00000000-0004-0000-0600-000000000000}"/>
    <hyperlink ref="E3" location="Higher!A1" display="High" xr:uid="{00000000-0004-0000-06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tint="0.39997558519241921"/>
    <pageSetUpPr fitToPage="1"/>
  </sheetPr>
  <dimension ref="B1:F10"/>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8</v>
      </c>
      <c r="D1" s="88"/>
      <c r="E1" s="88"/>
      <c r="F1" s="89"/>
    </row>
    <row r="3" spans="2:6" x14ac:dyDescent="0.3">
      <c r="B3" s="20" t="s">
        <v>2</v>
      </c>
      <c r="C3" s="3" t="s">
        <v>3</v>
      </c>
      <c r="D3" s="10" t="s">
        <v>1</v>
      </c>
      <c r="E3" s="10" t="s">
        <v>4</v>
      </c>
      <c r="F3" s="3" t="s">
        <v>274</v>
      </c>
    </row>
    <row r="4" spans="2:6" x14ac:dyDescent="0.3">
      <c r="B4" s="16" t="s">
        <v>128</v>
      </c>
      <c r="C4" s="2"/>
      <c r="D4" s="5"/>
      <c r="E4" s="5" t="s">
        <v>235</v>
      </c>
      <c r="F4" s="13"/>
    </row>
    <row r="5" spans="2:6" ht="28.8" x14ac:dyDescent="0.3">
      <c r="B5" s="16" t="s">
        <v>129</v>
      </c>
      <c r="C5" s="2"/>
      <c r="D5" s="5"/>
      <c r="E5" s="5" t="s">
        <v>235</v>
      </c>
      <c r="F5" s="13"/>
    </row>
    <row r="6" spans="2:6" x14ac:dyDescent="0.3">
      <c r="B6" s="16" t="s">
        <v>130</v>
      </c>
      <c r="C6" s="2"/>
      <c r="D6" s="5"/>
      <c r="E6" s="5" t="s">
        <v>235</v>
      </c>
      <c r="F6" s="5"/>
    </row>
    <row r="8" spans="2:6" x14ac:dyDescent="0.3">
      <c r="B8" s="4" t="s">
        <v>6</v>
      </c>
    </row>
    <row r="10" spans="2:6" x14ac:dyDescent="0.3">
      <c r="F10" s="19"/>
    </row>
  </sheetData>
  <mergeCells count="1">
    <mergeCell ref="C1:F1"/>
  </mergeCells>
  <hyperlinks>
    <hyperlink ref="D3" location="Foundation!A1" display="Found" xr:uid="{00000000-0004-0000-0700-000000000000}"/>
    <hyperlink ref="E3" location="Higher!A1" display="High" xr:uid="{00000000-0004-0000-07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4" tint="0.39997558519241921"/>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34</v>
      </c>
      <c r="D1" s="88"/>
      <c r="E1" s="88"/>
      <c r="F1" s="89"/>
    </row>
    <row r="3" spans="2:6" x14ac:dyDescent="0.3">
      <c r="B3" s="20" t="s">
        <v>2</v>
      </c>
      <c r="C3" s="3" t="s">
        <v>3</v>
      </c>
      <c r="D3" s="10" t="s">
        <v>1</v>
      </c>
      <c r="E3" s="10" t="s">
        <v>4</v>
      </c>
      <c r="F3" s="3" t="s">
        <v>274</v>
      </c>
    </row>
    <row r="4" spans="2:6" ht="28.8" x14ac:dyDescent="0.3">
      <c r="B4" s="16" t="s">
        <v>135</v>
      </c>
      <c r="C4" s="2"/>
      <c r="D4" s="5" t="s">
        <v>234</v>
      </c>
      <c r="E4" s="5" t="s">
        <v>235</v>
      </c>
      <c r="F4" s="13"/>
    </row>
    <row r="5" spans="2:6" ht="28.8" x14ac:dyDescent="0.3">
      <c r="B5" s="16" t="s">
        <v>136</v>
      </c>
      <c r="C5" s="2"/>
      <c r="D5" s="5" t="s">
        <v>234</v>
      </c>
      <c r="E5" s="5" t="s">
        <v>235</v>
      </c>
      <c r="F5" s="5"/>
    </row>
    <row r="7" spans="2:6" x14ac:dyDescent="0.3">
      <c r="B7" s="4" t="s">
        <v>6</v>
      </c>
      <c r="D7"/>
      <c r="E7"/>
    </row>
    <row r="12" spans="2:6" x14ac:dyDescent="0.3">
      <c r="F12" s="19"/>
    </row>
  </sheetData>
  <mergeCells count="1">
    <mergeCell ref="C1:F1"/>
  </mergeCells>
  <hyperlinks>
    <hyperlink ref="D3" location="Foundation!A1" display="Found" xr:uid="{00000000-0004-0000-0800-000000000000}"/>
    <hyperlink ref="E3" location="Higher!A1" display="High" xr:uid="{00000000-0004-0000-08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39997558519241921"/>
  </sheetPr>
  <dimension ref="B1:F8"/>
  <sheetViews>
    <sheetView workbookViewId="0">
      <selection activeCell="F3" sqref="F3"/>
    </sheetView>
  </sheetViews>
  <sheetFormatPr defaultRowHeight="14.4" x14ac:dyDescent="0.3"/>
  <cols>
    <col min="1" max="1" width="3.109375" customWidth="1"/>
    <col min="2" max="2" width="43.21875" customWidth="1"/>
    <col min="6" max="6" width="24.77734375" customWidth="1"/>
  </cols>
  <sheetData>
    <row r="1" spans="2:6" ht="21.6" thickBot="1" x14ac:dyDescent="0.45">
      <c r="B1" s="18" t="s">
        <v>5</v>
      </c>
      <c r="C1" s="87" t="s">
        <v>24</v>
      </c>
      <c r="D1" s="88"/>
      <c r="E1" s="88"/>
      <c r="F1" s="89"/>
    </row>
    <row r="2" spans="2:6" x14ac:dyDescent="0.3">
      <c r="B2" s="19"/>
      <c r="D2" s="1"/>
      <c r="E2" s="1"/>
    </row>
    <row r="3" spans="2:6" x14ac:dyDescent="0.3">
      <c r="B3" s="20" t="s">
        <v>2</v>
      </c>
      <c r="C3" s="3" t="s">
        <v>3</v>
      </c>
      <c r="D3" s="10" t="s">
        <v>1</v>
      </c>
      <c r="E3" s="10" t="s">
        <v>4</v>
      </c>
      <c r="F3" s="3" t="s">
        <v>274</v>
      </c>
    </row>
    <row r="4" spans="2:6" ht="28.5" customHeight="1" x14ac:dyDescent="0.3">
      <c r="B4" s="16" t="s">
        <v>88</v>
      </c>
      <c r="C4" s="2"/>
      <c r="D4" s="5" t="s">
        <v>234</v>
      </c>
      <c r="E4" s="5" t="s">
        <v>235</v>
      </c>
      <c r="F4" s="13"/>
    </row>
    <row r="5" spans="2:6" ht="28.5" customHeight="1" x14ac:dyDescent="0.3">
      <c r="B5" s="16" t="s">
        <v>89</v>
      </c>
      <c r="C5" s="2"/>
      <c r="D5" s="5" t="s">
        <v>234</v>
      </c>
      <c r="E5" s="5" t="s">
        <v>235</v>
      </c>
      <c r="F5" s="5"/>
    </row>
    <row r="6" spans="2:6" ht="29.25" customHeight="1" x14ac:dyDescent="0.3">
      <c r="B6" s="16" t="s">
        <v>90</v>
      </c>
      <c r="C6" s="2"/>
      <c r="D6" s="5" t="s">
        <v>234</v>
      </c>
      <c r="E6" s="5" t="s">
        <v>235</v>
      </c>
      <c r="F6" s="5"/>
    </row>
    <row r="7" spans="2:6" ht="13.95" customHeight="1" x14ac:dyDescent="0.3">
      <c r="B7" s="22"/>
      <c r="C7" s="7"/>
      <c r="D7" s="8"/>
      <c r="E7" s="8"/>
      <c r="F7" s="8"/>
    </row>
    <row r="8" spans="2:6" x14ac:dyDescent="0.3">
      <c r="B8" s="4" t="s">
        <v>6</v>
      </c>
    </row>
  </sheetData>
  <mergeCells count="1">
    <mergeCell ref="C1:F1"/>
  </mergeCells>
  <hyperlinks>
    <hyperlink ref="D3" location="Foundation!A1" display="Found" xr:uid="{00000000-0004-0000-0900-000000000000}"/>
    <hyperlink ref="E3" location="Higher!A1" display="High" xr:uid="{00000000-0004-0000-09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7" tint="0.39997558519241921"/>
    <pageSetUpPr fitToPage="1"/>
  </sheetPr>
  <dimension ref="B1:F15"/>
  <sheetViews>
    <sheetView zoomScaleNormal="100" workbookViewId="0">
      <selection activeCell="F4" sqref="F4"/>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0</v>
      </c>
      <c r="C1" s="87" t="s">
        <v>9</v>
      </c>
      <c r="D1" s="88"/>
      <c r="E1" s="88"/>
      <c r="F1" s="89"/>
    </row>
    <row r="2" spans="2:6" ht="21.6" thickBot="1" x14ac:dyDescent="0.45">
      <c r="B2" s="18" t="s">
        <v>5</v>
      </c>
      <c r="C2" s="87" t="s">
        <v>111</v>
      </c>
      <c r="D2" s="88"/>
      <c r="E2" s="88"/>
      <c r="F2" s="89"/>
    </row>
    <row r="4" spans="2:6" x14ac:dyDescent="0.3">
      <c r="B4" s="20" t="s">
        <v>2</v>
      </c>
      <c r="C4" s="3" t="s">
        <v>3</v>
      </c>
      <c r="D4" s="10" t="s">
        <v>1</v>
      </c>
      <c r="E4" s="10" t="s">
        <v>4</v>
      </c>
      <c r="F4" s="3" t="s">
        <v>274</v>
      </c>
    </row>
    <row r="5" spans="2:6" ht="28.8" x14ac:dyDescent="0.3">
      <c r="B5" s="16" t="s">
        <v>112</v>
      </c>
      <c r="C5" s="2"/>
      <c r="D5" s="5" t="s">
        <v>234</v>
      </c>
      <c r="E5" s="5" t="s">
        <v>235</v>
      </c>
      <c r="F5" s="5"/>
    </row>
    <row r="6" spans="2:6" ht="28.8" x14ac:dyDescent="0.3">
      <c r="B6" s="16" t="s">
        <v>113</v>
      </c>
      <c r="C6" s="2"/>
      <c r="D6" s="5" t="s">
        <v>234</v>
      </c>
      <c r="E6" s="5" t="s">
        <v>235</v>
      </c>
      <c r="F6" s="5"/>
    </row>
    <row r="7" spans="2:6" ht="28.8" x14ac:dyDescent="0.3">
      <c r="B7" s="16" t="s">
        <v>114</v>
      </c>
      <c r="C7" s="2"/>
      <c r="D7" s="5" t="s">
        <v>234</v>
      </c>
      <c r="E7" s="5" t="s">
        <v>235</v>
      </c>
      <c r="F7" s="5"/>
    </row>
    <row r="8" spans="2:6" ht="28.8" x14ac:dyDescent="0.3">
      <c r="B8" s="16" t="s">
        <v>115</v>
      </c>
      <c r="C8" s="2"/>
      <c r="D8" s="5" t="s">
        <v>234</v>
      </c>
      <c r="E8" s="5" t="s">
        <v>235</v>
      </c>
      <c r="F8" s="5"/>
    </row>
    <row r="9" spans="2:6" ht="28.8" x14ac:dyDescent="0.3">
      <c r="B9" s="16" t="s">
        <v>116</v>
      </c>
      <c r="C9" s="2"/>
      <c r="D9" s="5" t="s">
        <v>234</v>
      </c>
      <c r="E9" s="5" t="s">
        <v>235</v>
      </c>
      <c r="F9" s="5"/>
    </row>
    <row r="10" spans="2:6" ht="43.2" x14ac:dyDescent="0.3">
      <c r="B10" s="16" t="s">
        <v>117</v>
      </c>
      <c r="C10" s="2"/>
      <c r="D10" s="5" t="s">
        <v>234</v>
      </c>
      <c r="E10" s="5" t="s">
        <v>235</v>
      </c>
      <c r="F10" s="13"/>
    </row>
    <row r="11" spans="2:6" ht="28.8" x14ac:dyDescent="0.3">
      <c r="B11" s="16" t="s">
        <v>118</v>
      </c>
      <c r="C11" s="2"/>
      <c r="D11" s="5" t="s">
        <v>234</v>
      </c>
      <c r="E11" s="5" t="s">
        <v>235</v>
      </c>
      <c r="F11" s="13"/>
    </row>
    <row r="12" spans="2:6" ht="28.8" x14ac:dyDescent="0.3">
      <c r="B12" s="16" t="s">
        <v>119</v>
      </c>
      <c r="C12" s="2"/>
      <c r="D12" s="5" t="s">
        <v>234</v>
      </c>
      <c r="E12" s="5" t="s">
        <v>235</v>
      </c>
      <c r="F12" s="5"/>
    </row>
    <row r="13" spans="2:6" ht="43.2" x14ac:dyDescent="0.3">
      <c r="B13" s="16" t="s">
        <v>259</v>
      </c>
      <c r="C13" s="2"/>
      <c r="D13" s="5" t="s">
        <v>234</v>
      </c>
      <c r="E13" s="5" t="s">
        <v>235</v>
      </c>
      <c r="F13" s="5"/>
    </row>
    <row r="15" spans="2:6" x14ac:dyDescent="0.3">
      <c r="B15" s="4" t="s">
        <v>6</v>
      </c>
    </row>
  </sheetData>
  <mergeCells count="2">
    <mergeCell ref="C1:F1"/>
    <mergeCell ref="C2:F2"/>
  </mergeCells>
  <hyperlinks>
    <hyperlink ref="D4" location="Foundation!A1" display="Found" xr:uid="{00000000-0004-0000-0A00-000000000000}"/>
    <hyperlink ref="E4" location="Higher!A1" display="High" xr:uid="{00000000-0004-0000-0A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theme="7" tint="0.39997558519241921"/>
    <pageSetUpPr fitToPage="1"/>
  </sheetPr>
  <dimension ref="B1:F14"/>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27</v>
      </c>
      <c r="D1" s="88"/>
      <c r="E1" s="88"/>
      <c r="F1" s="89"/>
    </row>
    <row r="3" spans="2:6" x14ac:dyDescent="0.3">
      <c r="B3" s="20" t="s">
        <v>2</v>
      </c>
      <c r="C3" s="3" t="s">
        <v>3</v>
      </c>
      <c r="D3" s="10" t="s">
        <v>1</v>
      </c>
      <c r="E3" s="10" t="s">
        <v>4</v>
      </c>
      <c r="F3" s="3" t="s">
        <v>274</v>
      </c>
    </row>
    <row r="4" spans="2:6" ht="30" customHeight="1" x14ac:dyDescent="0.3">
      <c r="B4" s="16" t="s">
        <v>95</v>
      </c>
      <c r="C4" s="2"/>
      <c r="D4" s="5" t="s">
        <v>234</v>
      </c>
      <c r="E4" s="5" t="s">
        <v>235</v>
      </c>
      <c r="F4" s="13"/>
    </row>
    <row r="5" spans="2:6" ht="43.2" x14ac:dyDescent="0.3">
      <c r="B5" s="16" t="s">
        <v>96</v>
      </c>
      <c r="C5" s="2"/>
      <c r="D5" s="5" t="s">
        <v>234</v>
      </c>
      <c r="E5" s="5" t="s">
        <v>235</v>
      </c>
      <c r="F5" s="13"/>
    </row>
    <row r="6" spans="2:6" x14ac:dyDescent="0.3">
      <c r="B6" s="16" t="s">
        <v>97</v>
      </c>
      <c r="C6" s="2"/>
      <c r="D6" s="5" t="s">
        <v>234</v>
      </c>
      <c r="E6" s="5" t="s">
        <v>235</v>
      </c>
      <c r="F6" s="5"/>
    </row>
    <row r="7" spans="2:6" x14ac:dyDescent="0.3">
      <c r="B7" s="16" t="s">
        <v>98</v>
      </c>
      <c r="C7" s="2"/>
      <c r="D7" s="5" t="s">
        <v>234</v>
      </c>
      <c r="E7" s="5" t="s">
        <v>235</v>
      </c>
      <c r="F7" s="5"/>
    </row>
    <row r="8" spans="2:6" x14ac:dyDescent="0.3">
      <c r="B8" s="16" t="s">
        <v>99</v>
      </c>
      <c r="C8" s="2"/>
      <c r="D8" s="5" t="s">
        <v>234</v>
      </c>
      <c r="E8" s="5" t="s">
        <v>235</v>
      </c>
      <c r="F8" s="5"/>
    </row>
    <row r="9" spans="2:6" x14ac:dyDescent="0.3">
      <c r="B9" s="16" t="s">
        <v>100</v>
      </c>
      <c r="C9" s="2"/>
      <c r="D9" s="5" t="s">
        <v>234</v>
      </c>
      <c r="E9" s="5" t="s">
        <v>235</v>
      </c>
      <c r="F9" s="5"/>
    </row>
    <row r="11" spans="2:6" x14ac:dyDescent="0.3">
      <c r="B11" s="20" t="s">
        <v>149</v>
      </c>
    </row>
    <row r="12" spans="2:6" ht="86.4" x14ac:dyDescent="0.3">
      <c r="B12" s="16" t="s">
        <v>150</v>
      </c>
      <c r="C12" s="2"/>
      <c r="D12" s="5" t="s">
        <v>234</v>
      </c>
      <c r="E12" s="5" t="s">
        <v>235</v>
      </c>
      <c r="F12" s="13"/>
    </row>
    <row r="14" spans="2:6" x14ac:dyDescent="0.3">
      <c r="B14" s="4" t="s">
        <v>6</v>
      </c>
    </row>
  </sheetData>
  <mergeCells count="1">
    <mergeCell ref="C1:F1"/>
  </mergeCells>
  <hyperlinks>
    <hyperlink ref="D3" location="Foundation!A1" display="Found" xr:uid="{00000000-0004-0000-0B00-000000000000}"/>
    <hyperlink ref="E3" location="Higher!A1" display="High" xr:uid="{00000000-0004-0000-0B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39997558519241921"/>
  </sheetPr>
  <dimension ref="B1:F9"/>
  <sheetViews>
    <sheetView workbookViewId="0">
      <selection activeCell="F3" sqref="F3"/>
    </sheetView>
  </sheetViews>
  <sheetFormatPr defaultRowHeight="14.4" x14ac:dyDescent="0.3"/>
  <cols>
    <col min="1" max="1" width="4" customWidth="1"/>
    <col min="2" max="2" width="43.109375" customWidth="1"/>
    <col min="6" max="6" width="22.44140625" customWidth="1"/>
  </cols>
  <sheetData>
    <row r="1" spans="2:6" ht="21.6" thickBot="1" x14ac:dyDescent="0.45">
      <c r="B1" s="18" t="s">
        <v>5</v>
      </c>
      <c r="C1" s="87" t="s">
        <v>45</v>
      </c>
      <c r="D1" s="88"/>
      <c r="E1" s="88"/>
      <c r="F1" s="89"/>
    </row>
    <row r="2" spans="2:6" x14ac:dyDescent="0.3">
      <c r="B2" s="19"/>
      <c r="D2" s="1"/>
      <c r="E2" s="1"/>
    </row>
    <row r="3" spans="2:6" x14ac:dyDescent="0.3">
      <c r="B3" s="20" t="s">
        <v>2</v>
      </c>
      <c r="C3" s="3" t="s">
        <v>3</v>
      </c>
      <c r="D3" s="10" t="s">
        <v>1</v>
      </c>
      <c r="E3" s="10" t="s">
        <v>4</v>
      </c>
      <c r="F3" s="3" t="s">
        <v>274</v>
      </c>
    </row>
    <row r="4" spans="2:6" ht="43.2" x14ac:dyDescent="0.3">
      <c r="B4" s="16" t="s">
        <v>194</v>
      </c>
      <c r="C4" s="2"/>
      <c r="D4" s="5" t="s">
        <v>234</v>
      </c>
      <c r="E4" s="5" t="s">
        <v>235</v>
      </c>
      <c r="F4" s="13"/>
    </row>
    <row r="5" spans="2:6" ht="28.8" x14ac:dyDescent="0.3">
      <c r="B5" s="16" t="s">
        <v>195</v>
      </c>
      <c r="C5" s="2"/>
      <c r="D5" s="5" t="s">
        <v>234</v>
      </c>
      <c r="E5" s="5" t="s">
        <v>235</v>
      </c>
      <c r="F5" s="13"/>
    </row>
    <row r="6" spans="2:6" ht="28.8" x14ac:dyDescent="0.3">
      <c r="B6" s="16" t="s">
        <v>251</v>
      </c>
      <c r="C6" s="2"/>
      <c r="D6" s="5" t="s">
        <v>234</v>
      </c>
      <c r="E6" s="5" t="s">
        <v>235</v>
      </c>
      <c r="F6" s="5"/>
    </row>
    <row r="7" spans="2:6" ht="28.8" x14ac:dyDescent="0.3">
      <c r="B7" s="16" t="s">
        <v>196</v>
      </c>
      <c r="C7" s="2"/>
      <c r="D7" s="5" t="s">
        <v>234</v>
      </c>
      <c r="E7" s="5" t="s">
        <v>235</v>
      </c>
      <c r="F7" s="5"/>
    </row>
    <row r="8" spans="2:6" x14ac:dyDescent="0.3">
      <c r="B8" s="19"/>
      <c r="D8" s="1"/>
      <c r="E8" s="1"/>
    </row>
    <row r="9" spans="2:6" x14ac:dyDescent="0.3">
      <c r="B9" s="4" t="s">
        <v>6</v>
      </c>
      <c r="D9" s="1"/>
      <c r="E9" s="1"/>
    </row>
  </sheetData>
  <mergeCells count="1">
    <mergeCell ref="C1:F1"/>
  </mergeCells>
  <hyperlinks>
    <hyperlink ref="D3" location="Foundation!A1" display="Found" xr:uid="{00000000-0004-0000-0C00-000000000000}"/>
    <hyperlink ref="E3" location="Higher!A1" display="High" xr:uid="{00000000-0004-0000-0C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39997558519241921"/>
  </sheetPr>
  <dimension ref="B1:F8"/>
  <sheetViews>
    <sheetView workbookViewId="0">
      <selection activeCell="F3" sqref="F3"/>
    </sheetView>
  </sheetViews>
  <sheetFormatPr defaultRowHeight="14.4" x14ac:dyDescent="0.3"/>
  <cols>
    <col min="1" max="1" width="3.33203125" customWidth="1"/>
    <col min="2" max="2" width="42.44140625" customWidth="1"/>
    <col min="6" max="6" width="24.77734375" customWidth="1"/>
  </cols>
  <sheetData>
    <row r="1" spans="2:6" ht="21.6" thickBot="1" x14ac:dyDescent="0.45">
      <c r="B1" s="18" t="s">
        <v>5</v>
      </c>
      <c r="C1" s="87" t="s">
        <v>51</v>
      </c>
      <c r="D1" s="88"/>
      <c r="E1" s="88"/>
      <c r="F1" s="89"/>
    </row>
    <row r="2" spans="2:6" x14ac:dyDescent="0.3">
      <c r="B2" s="19"/>
      <c r="D2" s="1"/>
      <c r="E2" s="1"/>
    </row>
    <row r="3" spans="2:6" x14ac:dyDescent="0.3">
      <c r="B3" s="20" t="s">
        <v>2</v>
      </c>
      <c r="C3" s="3" t="s">
        <v>3</v>
      </c>
      <c r="D3" s="10" t="s">
        <v>1</v>
      </c>
      <c r="E3" s="10" t="s">
        <v>4</v>
      </c>
      <c r="F3" s="3" t="s">
        <v>274</v>
      </c>
    </row>
    <row r="4" spans="2:6" ht="28.8" x14ac:dyDescent="0.3">
      <c r="B4" s="16" t="s">
        <v>210</v>
      </c>
      <c r="C4" s="2"/>
      <c r="D4" s="5"/>
      <c r="E4" s="5" t="s">
        <v>235</v>
      </c>
      <c r="F4" s="13"/>
    </row>
    <row r="5" spans="2:6" ht="57.6" x14ac:dyDescent="0.3">
      <c r="B5" s="16" t="s">
        <v>211</v>
      </c>
      <c r="C5" s="2"/>
      <c r="D5" s="5"/>
      <c r="E5" s="5" t="s">
        <v>235</v>
      </c>
      <c r="F5" s="13"/>
    </row>
    <row r="6" spans="2:6" ht="28.8" x14ac:dyDescent="0.3">
      <c r="B6" s="16" t="s">
        <v>110</v>
      </c>
      <c r="C6" s="2"/>
      <c r="D6" s="5"/>
      <c r="E6" s="5" t="s">
        <v>235</v>
      </c>
      <c r="F6" s="5"/>
    </row>
    <row r="7" spans="2:6" x14ac:dyDescent="0.3">
      <c r="B7" s="19"/>
      <c r="D7" s="1"/>
      <c r="E7" s="1"/>
    </row>
    <row r="8" spans="2:6" x14ac:dyDescent="0.3">
      <c r="B8" s="4" t="s">
        <v>6</v>
      </c>
      <c r="D8" s="1"/>
      <c r="E8" s="1"/>
    </row>
  </sheetData>
  <mergeCells count="1">
    <mergeCell ref="C1:F1"/>
  </mergeCells>
  <hyperlinks>
    <hyperlink ref="D3" location="Foundation!A1" display="Found" xr:uid="{00000000-0004-0000-0D00-000000000000}"/>
    <hyperlink ref="E3" location="Higher!A1" display="High" xr:uid="{00000000-0004-0000-0D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39997558519241921"/>
  </sheetPr>
  <dimension ref="B1:F6"/>
  <sheetViews>
    <sheetView workbookViewId="0">
      <selection activeCell="F3" sqref="F3"/>
    </sheetView>
  </sheetViews>
  <sheetFormatPr defaultRowHeight="14.4" x14ac:dyDescent="0.3"/>
  <cols>
    <col min="1" max="1" width="3.77734375" customWidth="1"/>
    <col min="2" max="2" width="42.44140625" customWidth="1"/>
    <col min="6" max="6" width="22.33203125" customWidth="1"/>
  </cols>
  <sheetData>
    <row r="1" spans="2:6" ht="21.6" thickBot="1" x14ac:dyDescent="0.45">
      <c r="B1" s="18" t="s">
        <v>5</v>
      </c>
      <c r="C1" s="87" t="s">
        <v>47</v>
      </c>
      <c r="D1" s="88"/>
      <c r="E1" s="88"/>
      <c r="F1" s="89"/>
    </row>
    <row r="2" spans="2:6" x14ac:dyDescent="0.3">
      <c r="B2" s="19"/>
      <c r="D2" s="1"/>
      <c r="E2" s="1"/>
    </row>
    <row r="3" spans="2:6" x14ac:dyDescent="0.3">
      <c r="B3" s="20" t="s">
        <v>2</v>
      </c>
      <c r="C3" s="3" t="s">
        <v>3</v>
      </c>
      <c r="D3" s="10" t="s">
        <v>1</v>
      </c>
      <c r="E3" s="10" t="s">
        <v>4</v>
      </c>
      <c r="F3" s="3" t="s">
        <v>274</v>
      </c>
    </row>
    <row r="4" spans="2:6" ht="57.6" x14ac:dyDescent="0.3">
      <c r="B4" s="16" t="s">
        <v>257</v>
      </c>
      <c r="C4" s="2"/>
      <c r="D4" s="5" t="s">
        <v>234</v>
      </c>
      <c r="E4" s="5" t="s">
        <v>235</v>
      </c>
      <c r="F4" s="13"/>
    </row>
    <row r="5" spans="2:6" x14ac:dyDescent="0.3">
      <c r="B5" s="19"/>
      <c r="D5" s="1"/>
      <c r="E5" s="1"/>
    </row>
    <row r="6" spans="2:6" x14ac:dyDescent="0.3">
      <c r="B6" s="4" t="s">
        <v>6</v>
      </c>
      <c r="D6" s="1"/>
      <c r="E6" s="1"/>
    </row>
  </sheetData>
  <mergeCells count="1">
    <mergeCell ref="C1:F1"/>
  </mergeCells>
  <hyperlinks>
    <hyperlink ref="D3" location="Foundation!A1" display="Found" xr:uid="{00000000-0004-0000-0E00-000000000000}"/>
    <hyperlink ref="E3" location="Higher!A1" display="High" xr:uid="{00000000-0004-0000-0E00-000001000000}"/>
  </hyperlinks>
  <pageMargins left="0.7" right="0.7" top="0.75" bottom="0.75" header="0.3" footer="0.3"/>
  <pageSetup paperSize="9"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theme="5" tint="0.39997558519241921"/>
    <pageSetUpPr fitToPage="1"/>
  </sheetPr>
  <dimension ref="B1:I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 min="9" max="9" width="9.109375" customWidth="1"/>
  </cols>
  <sheetData>
    <row r="1" spans="2:9" ht="21.6" thickBot="1" x14ac:dyDescent="0.45">
      <c r="B1" s="18" t="s">
        <v>5</v>
      </c>
      <c r="C1" s="87" t="s">
        <v>81</v>
      </c>
      <c r="D1" s="88"/>
      <c r="E1" s="88"/>
      <c r="F1" s="89"/>
    </row>
    <row r="3" spans="2:9" x14ac:dyDescent="0.3">
      <c r="B3" s="20" t="s">
        <v>2</v>
      </c>
      <c r="C3" s="3" t="s">
        <v>3</v>
      </c>
      <c r="D3" s="10" t="s">
        <v>1</v>
      </c>
      <c r="E3" s="10" t="s">
        <v>4</v>
      </c>
      <c r="F3" s="3" t="s">
        <v>274</v>
      </c>
    </row>
    <row r="4" spans="2:9" x14ac:dyDescent="0.3">
      <c r="B4" s="16" t="s">
        <v>218</v>
      </c>
      <c r="C4" s="2"/>
      <c r="D4" s="5" t="s">
        <v>234</v>
      </c>
      <c r="E4" s="5" t="s">
        <v>235</v>
      </c>
      <c r="F4" s="5"/>
    </row>
    <row r="5" spans="2:9" ht="86.4" x14ac:dyDescent="0.3">
      <c r="B5" s="16" t="s">
        <v>217</v>
      </c>
      <c r="C5" s="2"/>
      <c r="D5" s="5" t="s">
        <v>234</v>
      </c>
      <c r="E5" s="5" t="s">
        <v>235</v>
      </c>
      <c r="F5" s="5"/>
      <c r="I5" s="31"/>
    </row>
    <row r="6" spans="2:9" ht="28.8" x14ac:dyDescent="0.3">
      <c r="B6" s="16" t="s">
        <v>70</v>
      </c>
      <c r="C6" s="2"/>
      <c r="D6" s="5" t="s">
        <v>234</v>
      </c>
      <c r="E6" s="5" t="s">
        <v>235</v>
      </c>
      <c r="F6" s="5"/>
    </row>
    <row r="7" spans="2:9" x14ac:dyDescent="0.3">
      <c r="B7" s="16" t="s">
        <v>71</v>
      </c>
      <c r="C7" s="2"/>
      <c r="D7" s="5" t="s">
        <v>234</v>
      </c>
      <c r="E7" s="5" t="s">
        <v>235</v>
      </c>
      <c r="F7" s="13"/>
    </row>
    <row r="8" spans="2:9" ht="43.2" x14ac:dyDescent="0.3">
      <c r="B8" s="16" t="s">
        <v>72</v>
      </c>
      <c r="C8" s="2"/>
      <c r="D8" s="5" t="s">
        <v>234</v>
      </c>
      <c r="E8" s="5" t="s">
        <v>235</v>
      </c>
      <c r="F8" s="13"/>
    </row>
    <row r="9" spans="2:9" ht="43.2" x14ac:dyDescent="0.3">
      <c r="B9" s="16" t="s">
        <v>73</v>
      </c>
      <c r="C9" s="2"/>
      <c r="D9" s="5" t="s">
        <v>234</v>
      </c>
      <c r="E9" s="5" t="s">
        <v>235</v>
      </c>
      <c r="F9" s="13"/>
    </row>
    <row r="10" spans="2:9" ht="72" x14ac:dyDescent="0.3">
      <c r="B10" s="16" t="s">
        <v>216</v>
      </c>
      <c r="C10" s="2"/>
      <c r="D10" s="5" t="s">
        <v>234</v>
      </c>
      <c r="E10" s="5" t="s">
        <v>235</v>
      </c>
      <c r="F10" s="13"/>
      <c r="I10" s="29"/>
    </row>
    <row r="12" spans="2:9" x14ac:dyDescent="0.3">
      <c r="B12" s="4" t="s">
        <v>6</v>
      </c>
      <c r="D12"/>
      <c r="E12"/>
    </row>
  </sheetData>
  <mergeCells count="1">
    <mergeCell ref="C1:F1"/>
  </mergeCells>
  <hyperlinks>
    <hyperlink ref="D3" location="Foundation!A1" display="Found" xr:uid="{00000000-0004-0000-0F00-000000000000}"/>
    <hyperlink ref="E3" location="Higher!A1" display="High" xr:uid="{00000000-0004-0000-0F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theme="5" tint="0.39997558519241921"/>
    <pageSetUpPr fitToPage="1"/>
  </sheetPr>
  <dimension ref="B1:F9"/>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32</v>
      </c>
      <c r="D1" s="88"/>
      <c r="E1" s="88"/>
      <c r="F1" s="89"/>
    </row>
    <row r="3" spans="2:6" x14ac:dyDescent="0.3">
      <c r="B3" s="20" t="s">
        <v>2</v>
      </c>
      <c r="C3" s="3" t="s">
        <v>3</v>
      </c>
      <c r="D3" s="10" t="s">
        <v>1</v>
      </c>
      <c r="E3" s="10" t="s">
        <v>4</v>
      </c>
      <c r="F3" s="3" t="s">
        <v>274</v>
      </c>
    </row>
    <row r="4" spans="2:6" ht="28.8" x14ac:dyDescent="0.3">
      <c r="B4" s="16" t="s">
        <v>122</v>
      </c>
      <c r="C4" s="2"/>
      <c r="D4" s="5" t="s">
        <v>234</v>
      </c>
      <c r="E4" s="5" t="s">
        <v>235</v>
      </c>
      <c r="F4" s="13"/>
    </row>
    <row r="5" spans="2:6" ht="43.2" x14ac:dyDescent="0.3">
      <c r="B5" s="16" t="s">
        <v>123</v>
      </c>
      <c r="C5" s="2"/>
      <c r="D5" s="5" t="s">
        <v>234</v>
      </c>
      <c r="E5" s="5" t="s">
        <v>235</v>
      </c>
      <c r="F5" s="13"/>
    </row>
    <row r="7" spans="2:6" x14ac:dyDescent="0.3">
      <c r="B7" s="4" t="s">
        <v>6</v>
      </c>
    </row>
    <row r="9" spans="2:6" x14ac:dyDescent="0.3">
      <c r="F9" s="19"/>
    </row>
  </sheetData>
  <mergeCells count="1">
    <mergeCell ref="C1:F1"/>
  </mergeCells>
  <hyperlinks>
    <hyperlink ref="D3" location="Foundation!A1" display="Found" xr:uid="{00000000-0004-0000-1000-000000000000}"/>
    <hyperlink ref="E3" location="Higher!A1" display="High" xr:uid="{00000000-0004-0000-10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theme="5" tint="0.39997558519241921"/>
    <pageSetUpPr fitToPage="1"/>
  </sheetPr>
  <dimension ref="B1:F6"/>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53</v>
      </c>
      <c r="D1" s="88"/>
      <c r="E1" s="88"/>
      <c r="F1" s="89"/>
    </row>
    <row r="3" spans="2:6" x14ac:dyDescent="0.3">
      <c r="B3" s="20" t="s">
        <v>2</v>
      </c>
      <c r="C3" s="3" t="s">
        <v>3</v>
      </c>
      <c r="D3" s="10" t="s">
        <v>1</v>
      </c>
      <c r="E3" s="10" t="s">
        <v>4</v>
      </c>
      <c r="F3" s="3" t="s">
        <v>274</v>
      </c>
    </row>
    <row r="4" spans="2:6" ht="28.8" x14ac:dyDescent="0.3">
      <c r="B4" s="16" t="s">
        <v>214</v>
      </c>
      <c r="C4" s="2"/>
      <c r="D4" s="5"/>
      <c r="E4" s="5" t="s">
        <v>235</v>
      </c>
      <c r="F4" s="13"/>
    </row>
    <row r="6" spans="2:6" x14ac:dyDescent="0.3">
      <c r="B6" s="4" t="s">
        <v>6</v>
      </c>
    </row>
  </sheetData>
  <mergeCells count="1">
    <mergeCell ref="C1:F1"/>
  </mergeCells>
  <hyperlinks>
    <hyperlink ref="D3" location="Foundation!A1" display="Found" xr:uid="{00000000-0004-0000-1100-000000000000}"/>
    <hyperlink ref="E3" location="Higher!A1" display="High" xr:uid="{00000000-0004-0000-11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5" tint="0.39997558519241921"/>
    <pageSetUpPr fitToPage="1"/>
  </sheetPr>
  <dimension ref="B1:H13"/>
  <sheetViews>
    <sheetView zoomScaleNormal="100" workbookViewId="0">
      <selection activeCell="F3" sqref="F3"/>
    </sheetView>
  </sheetViews>
  <sheetFormatPr defaultColWidth="9.109375" defaultRowHeight="14.4" x14ac:dyDescent="0.3"/>
  <cols>
    <col min="1" max="1" width="4" customWidth="1"/>
    <col min="2" max="2" width="45.21875" style="19" customWidth="1"/>
    <col min="3" max="3" width="14.109375" customWidth="1"/>
    <col min="4" max="4" width="11.6640625" style="1" customWidth="1"/>
    <col min="5" max="5" width="13.109375" style="1" customWidth="1"/>
    <col min="6" max="6" width="22.77734375" customWidth="1"/>
  </cols>
  <sheetData>
    <row r="1" spans="2:8" ht="21.6" thickBot="1" x14ac:dyDescent="0.45">
      <c r="B1" s="18" t="s">
        <v>5</v>
      </c>
      <c r="C1" s="87" t="s">
        <v>40</v>
      </c>
      <c r="D1" s="88"/>
      <c r="E1" s="88"/>
      <c r="F1" s="89"/>
    </row>
    <row r="3" spans="2:8" x14ac:dyDescent="0.3">
      <c r="B3" s="20" t="s">
        <v>2</v>
      </c>
      <c r="C3" s="3" t="s">
        <v>3</v>
      </c>
      <c r="D3" s="10" t="s">
        <v>1</v>
      </c>
      <c r="E3" s="10" t="s">
        <v>4</v>
      </c>
      <c r="F3" s="3" t="s">
        <v>274</v>
      </c>
    </row>
    <row r="4" spans="2:8" ht="115.2" x14ac:dyDescent="0.3">
      <c r="B4" s="16" t="s">
        <v>219</v>
      </c>
      <c r="C4" s="2"/>
      <c r="D4" s="5" t="s">
        <v>234</v>
      </c>
      <c r="E4" s="5" t="s">
        <v>235</v>
      </c>
      <c r="F4" s="13"/>
      <c r="H4" s="30"/>
    </row>
    <row r="5" spans="2:8" ht="28.8" x14ac:dyDescent="0.3">
      <c r="B5" s="16" t="s">
        <v>168</v>
      </c>
      <c r="C5" s="2"/>
      <c r="D5" s="5" t="s">
        <v>234</v>
      </c>
      <c r="E5" s="5" t="s">
        <v>235</v>
      </c>
      <c r="F5" s="5"/>
    </row>
    <row r="6" spans="2:8" x14ac:dyDescent="0.3">
      <c r="B6" s="16" t="s">
        <v>169</v>
      </c>
      <c r="C6" s="2"/>
      <c r="D6" s="5" t="s">
        <v>234</v>
      </c>
      <c r="E6" s="5" t="s">
        <v>235</v>
      </c>
      <c r="F6" s="13"/>
    </row>
    <row r="7" spans="2:8" ht="28.8" x14ac:dyDescent="0.3">
      <c r="B7" s="16" t="s">
        <v>170</v>
      </c>
      <c r="C7" s="2"/>
      <c r="D7" s="5" t="s">
        <v>234</v>
      </c>
      <c r="E7" s="5" t="s">
        <v>235</v>
      </c>
      <c r="F7" s="5"/>
    </row>
    <row r="8" spans="2:8" ht="43.2" x14ac:dyDescent="0.3">
      <c r="B8" s="16" t="s">
        <v>171</v>
      </c>
      <c r="C8" s="2"/>
      <c r="D8" s="5" t="s">
        <v>234</v>
      </c>
      <c r="E8" s="5" t="s">
        <v>235</v>
      </c>
      <c r="F8" s="13"/>
    </row>
    <row r="9" spans="2:8" ht="28.8" x14ac:dyDescent="0.3">
      <c r="B9" s="16" t="s">
        <v>172</v>
      </c>
      <c r="C9" s="2"/>
      <c r="D9" s="5" t="s">
        <v>234</v>
      </c>
      <c r="E9" s="5" t="s">
        <v>235</v>
      </c>
      <c r="F9" s="5"/>
    </row>
    <row r="10" spans="2:8" ht="33.75" customHeight="1" x14ac:dyDescent="0.3">
      <c r="B10" s="16" t="s">
        <v>173</v>
      </c>
      <c r="C10" s="2"/>
      <c r="D10" s="5"/>
      <c r="E10" s="5" t="s">
        <v>235</v>
      </c>
      <c r="F10" s="5"/>
    </row>
    <row r="11" spans="2:8" ht="28.8" x14ac:dyDescent="0.3">
      <c r="B11" s="16" t="s">
        <v>174</v>
      </c>
      <c r="C11" s="2"/>
      <c r="D11" s="5"/>
      <c r="E11" s="5" t="s">
        <v>235</v>
      </c>
      <c r="F11" s="5"/>
    </row>
    <row r="12" spans="2:8" x14ac:dyDescent="0.3">
      <c r="F12" s="19"/>
    </row>
    <row r="13" spans="2:8" x14ac:dyDescent="0.3">
      <c r="B13" s="4" t="s">
        <v>6</v>
      </c>
    </row>
  </sheetData>
  <mergeCells count="1">
    <mergeCell ref="C1:F1"/>
  </mergeCells>
  <hyperlinks>
    <hyperlink ref="D3" location="Foundation!A1" display="Found" xr:uid="{00000000-0004-0000-1200-000000000000}"/>
    <hyperlink ref="E3" location="Higher!A1" display="High" xr:uid="{00000000-0004-0000-12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39997558519241921"/>
  </sheetPr>
  <dimension ref="B1:F8"/>
  <sheetViews>
    <sheetView workbookViewId="0">
      <selection activeCell="F3" sqref="F3"/>
    </sheetView>
  </sheetViews>
  <sheetFormatPr defaultRowHeight="14.4" x14ac:dyDescent="0.3"/>
  <cols>
    <col min="1" max="1" width="2.6640625" customWidth="1"/>
    <col min="2" max="2" width="43.109375" customWidth="1"/>
    <col min="6" max="6" width="24.77734375" customWidth="1"/>
  </cols>
  <sheetData>
    <row r="1" spans="2:6" ht="21.6" thickBot="1" x14ac:dyDescent="0.45">
      <c r="B1" s="18" t="s">
        <v>5</v>
      </c>
      <c r="C1" s="87" t="s">
        <v>233</v>
      </c>
      <c r="D1" s="88"/>
      <c r="E1" s="88"/>
      <c r="F1" s="89"/>
    </row>
    <row r="2" spans="2:6" x14ac:dyDescent="0.3">
      <c r="B2" s="19"/>
      <c r="D2" s="1"/>
      <c r="E2" s="1"/>
    </row>
    <row r="3" spans="2:6" x14ac:dyDescent="0.3">
      <c r="B3" s="20" t="s">
        <v>2</v>
      </c>
      <c r="C3" s="3" t="s">
        <v>3</v>
      </c>
      <c r="D3" s="10" t="s">
        <v>1</v>
      </c>
      <c r="E3" s="10" t="s">
        <v>4</v>
      </c>
      <c r="F3" s="3" t="s">
        <v>274</v>
      </c>
    </row>
    <row r="4" spans="2:6" ht="28.8" x14ac:dyDescent="0.3">
      <c r="B4" s="16" t="s">
        <v>254</v>
      </c>
      <c r="C4" s="2"/>
      <c r="D4" s="5" t="s">
        <v>234</v>
      </c>
      <c r="E4" s="5" t="s">
        <v>235</v>
      </c>
      <c r="F4" s="5"/>
    </row>
    <row r="5" spans="2:6" ht="28.8" x14ac:dyDescent="0.3">
      <c r="B5" s="16" t="s">
        <v>255</v>
      </c>
      <c r="C5" s="2"/>
      <c r="D5" s="5" t="s">
        <v>234</v>
      </c>
      <c r="E5" s="5" t="s">
        <v>235</v>
      </c>
      <c r="F5" s="5"/>
    </row>
    <row r="6" spans="2:6" x14ac:dyDescent="0.3">
      <c r="B6" s="16" t="s">
        <v>256</v>
      </c>
      <c r="C6" s="2"/>
      <c r="D6" s="5" t="s">
        <v>234</v>
      </c>
      <c r="E6" s="5" t="s">
        <v>235</v>
      </c>
      <c r="F6" s="5"/>
    </row>
    <row r="7" spans="2:6" x14ac:dyDescent="0.3">
      <c r="D7" s="1"/>
      <c r="E7" s="1"/>
    </row>
    <row r="8" spans="2:6" x14ac:dyDescent="0.3">
      <c r="B8" s="4" t="s">
        <v>6</v>
      </c>
    </row>
  </sheetData>
  <mergeCells count="1">
    <mergeCell ref="C1:F1"/>
  </mergeCells>
  <hyperlinks>
    <hyperlink ref="D3" location="Foundation!A1" display="Found" xr:uid="{00000000-0004-0000-1300-000000000000}"/>
    <hyperlink ref="E3" location="Higher!A1" display="High"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theme="5" tint="0.39997558519241921"/>
    <pageSetUpPr fitToPage="1"/>
  </sheetPr>
  <dimension ref="B1:F13"/>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44</v>
      </c>
      <c r="D1" s="88"/>
      <c r="E1" s="88"/>
      <c r="F1" s="89"/>
    </row>
    <row r="3" spans="2:6" x14ac:dyDescent="0.3">
      <c r="B3" s="20" t="s">
        <v>2</v>
      </c>
      <c r="C3" s="3" t="s">
        <v>3</v>
      </c>
      <c r="D3" s="10" t="s">
        <v>1</v>
      </c>
      <c r="E3" s="10" t="s">
        <v>4</v>
      </c>
      <c r="F3" s="3" t="s">
        <v>274</v>
      </c>
    </row>
    <row r="4" spans="2:6" ht="57.6" x14ac:dyDescent="0.3">
      <c r="B4" s="16" t="s">
        <v>250</v>
      </c>
      <c r="C4" s="2"/>
      <c r="D4" s="5" t="s">
        <v>234</v>
      </c>
      <c r="E4" s="5" t="s">
        <v>235</v>
      </c>
      <c r="F4" s="5"/>
    </row>
    <row r="5" spans="2:6" ht="100.8" x14ac:dyDescent="0.3">
      <c r="B5" s="16" t="s">
        <v>193</v>
      </c>
      <c r="C5" s="2"/>
      <c r="D5" s="5"/>
      <c r="E5" s="5" t="s">
        <v>235</v>
      </c>
      <c r="F5" s="5"/>
    </row>
    <row r="6" spans="2:6" x14ac:dyDescent="0.3">
      <c r="B6" s="7"/>
      <c r="C6" s="7"/>
      <c r="D6" s="8"/>
      <c r="E6" s="8"/>
      <c r="F6" s="8"/>
    </row>
    <row r="8" spans="2:6" x14ac:dyDescent="0.3">
      <c r="B8" s="4" t="s">
        <v>6</v>
      </c>
    </row>
    <row r="13" spans="2:6" x14ac:dyDescent="0.3">
      <c r="F13" s="19"/>
    </row>
  </sheetData>
  <mergeCells count="1">
    <mergeCell ref="C1:F1"/>
  </mergeCells>
  <hyperlinks>
    <hyperlink ref="D3" location="Foundation!A1" display="Found" xr:uid="{00000000-0004-0000-1400-000000000000}"/>
    <hyperlink ref="E3" location="Higher!A1" display="High" xr:uid="{00000000-0004-0000-14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7">
    <tabColor theme="5" tint="0.39997558519241921"/>
    <pageSetUpPr fitToPage="1"/>
  </sheetPr>
  <dimension ref="B1:F10"/>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48</v>
      </c>
      <c r="D1" s="88"/>
      <c r="E1" s="88"/>
      <c r="F1" s="89"/>
    </row>
    <row r="3" spans="2:6" x14ac:dyDescent="0.3">
      <c r="B3" s="20" t="s">
        <v>2</v>
      </c>
      <c r="C3" s="3" t="s">
        <v>3</v>
      </c>
      <c r="D3" s="10" t="s">
        <v>1</v>
      </c>
      <c r="E3" s="10" t="s">
        <v>4</v>
      </c>
      <c r="F3" s="3" t="s">
        <v>274</v>
      </c>
    </row>
    <row r="4" spans="2:6" ht="28.8" x14ac:dyDescent="0.3">
      <c r="B4" s="16" t="s">
        <v>206</v>
      </c>
      <c r="C4" s="2"/>
      <c r="D4" s="5"/>
      <c r="E4" s="5" t="s">
        <v>235</v>
      </c>
      <c r="F4" s="5"/>
    </row>
    <row r="6" spans="2:6" x14ac:dyDescent="0.3">
      <c r="B6" s="4" t="s">
        <v>6</v>
      </c>
    </row>
    <row r="10" spans="2:6" x14ac:dyDescent="0.3">
      <c r="F10" s="19"/>
    </row>
  </sheetData>
  <mergeCells count="1">
    <mergeCell ref="C1:F1"/>
  </mergeCells>
  <hyperlinks>
    <hyperlink ref="D3" location="Foundation!A1" display="Found" xr:uid="{00000000-0004-0000-1500-000000000000}"/>
    <hyperlink ref="E3" location="Higher!A1" display="High" xr:uid="{00000000-0004-0000-15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8">
    <tabColor theme="5" tint="0.39997558519241921"/>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30</v>
      </c>
      <c r="D1" s="88"/>
      <c r="E1" s="88"/>
      <c r="F1" s="89"/>
    </row>
    <row r="3" spans="2:6" x14ac:dyDescent="0.3">
      <c r="B3" s="20" t="s">
        <v>2</v>
      </c>
      <c r="C3" s="3" t="s">
        <v>3</v>
      </c>
      <c r="D3" s="10" t="s">
        <v>1</v>
      </c>
      <c r="E3" s="10" t="s">
        <v>4</v>
      </c>
      <c r="F3" s="3" t="s">
        <v>274</v>
      </c>
    </row>
    <row r="4" spans="2:6" ht="86.4" x14ac:dyDescent="0.3">
      <c r="B4" s="16" t="s">
        <v>109</v>
      </c>
      <c r="C4" s="2"/>
      <c r="D4" s="5" t="s">
        <v>234</v>
      </c>
      <c r="E4" s="5" t="s">
        <v>235</v>
      </c>
      <c r="F4" s="5"/>
    </row>
    <row r="5" spans="2:6" ht="28.8" x14ac:dyDescent="0.3">
      <c r="B5" s="16" t="s">
        <v>110</v>
      </c>
      <c r="C5" s="2"/>
      <c r="D5" s="5" t="s">
        <v>234</v>
      </c>
      <c r="E5" s="5" t="s">
        <v>235</v>
      </c>
      <c r="F5" s="5"/>
    </row>
    <row r="6" spans="2:6" x14ac:dyDescent="0.3">
      <c r="B6" s="23"/>
      <c r="C6" s="24"/>
      <c r="D6" s="25"/>
      <c r="E6" s="25"/>
      <c r="F6" s="25"/>
    </row>
    <row r="7" spans="2:6" x14ac:dyDescent="0.3">
      <c r="B7" s="4" t="s">
        <v>6</v>
      </c>
      <c r="C7" s="7"/>
      <c r="D7" s="8"/>
      <c r="E7" s="8"/>
      <c r="F7" s="8"/>
    </row>
    <row r="8" spans="2:6" x14ac:dyDescent="0.3">
      <c r="B8" s="22"/>
      <c r="C8" s="7"/>
      <c r="D8" s="8"/>
      <c r="E8" s="8"/>
      <c r="F8" s="8"/>
    </row>
    <row r="12" spans="2:6" x14ac:dyDescent="0.3">
      <c r="F12" s="19"/>
    </row>
  </sheetData>
  <mergeCells count="1">
    <mergeCell ref="C1:F1"/>
  </mergeCells>
  <hyperlinks>
    <hyperlink ref="D3" location="Foundation!A1" display="Found" xr:uid="{00000000-0004-0000-1600-000000000000}"/>
    <hyperlink ref="E3" location="Higher!A1" display="High" xr:uid="{00000000-0004-0000-16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9">
    <tabColor theme="5" tint="0.39997558519241921"/>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52</v>
      </c>
      <c r="D1" s="88"/>
      <c r="E1" s="88"/>
      <c r="F1" s="89"/>
    </row>
    <row r="3" spans="2:6" x14ac:dyDescent="0.3">
      <c r="B3" s="20" t="s">
        <v>2</v>
      </c>
      <c r="C3" s="3" t="s">
        <v>3</v>
      </c>
      <c r="D3" s="10" t="s">
        <v>1</v>
      </c>
      <c r="E3" s="10" t="s">
        <v>4</v>
      </c>
      <c r="F3" s="3" t="s">
        <v>274</v>
      </c>
    </row>
    <row r="4" spans="2:6" ht="43.2" x14ac:dyDescent="0.3">
      <c r="B4" s="16" t="s">
        <v>212</v>
      </c>
      <c r="C4" s="2"/>
      <c r="D4" s="5"/>
      <c r="E4" s="5" t="s">
        <v>235</v>
      </c>
      <c r="F4" s="5"/>
    </row>
    <row r="5" spans="2:6" ht="43.2" x14ac:dyDescent="0.3">
      <c r="B5" s="16" t="s">
        <v>213</v>
      </c>
      <c r="C5" s="2"/>
      <c r="D5" s="5"/>
      <c r="E5" s="5" t="s">
        <v>235</v>
      </c>
      <c r="F5" s="5"/>
    </row>
    <row r="7" spans="2:6" x14ac:dyDescent="0.3">
      <c r="B7" s="4" t="s">
        <v>6</v>
      </c>
    </row>
    <row r="12" spans="2:6" x14ac:dyDescent="0.3">
      <c r="F12" s="19"/>
    </row>
  </sheetData>
  <mergeCells count="1">
    <mergeCell ref="C1:F1"/>
  </mergeCells>
  <hyperlinks>
    <hyperlink ref="D3" location="Foundation!A1" display="Found" xr:uid="{00000000-0004-0000-1700-000000000000}"/>
    <hyperlink ref="E3" location="Higher!A1" display="High" xr:uid="{00000000-0004-0000-17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0">
    <tabColor theme="5" tint="0.39997558519241921"/>
    <pageSetUpPr fitToPage="1"/>
  </sheetPr>
  <dimension ref="B1:F11"/>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16</v>
      </c>
      <c r="D1" s="88"/>
      <c r="E1" s="88"/>
      <c r="F1" s="89"/>
    </row>
    <row r="3" spans="2:6" x14ac:dyDescent="0.3">
      <c r="B3" s="20" t="s">
        <v>2</v>
      </c>
      <c r="C3" s="3" t="s">
        <v>3</v>
      </c>
      <c r="D3" s="10" t="s">
        <v>1</v>
      </c>
      <c r="E3" s="10" t="s">
        <v>4</v>
      </c>
      <c r="F3" s="3" t="s">
        <v>274</v>
      </c>
    </row>
    <row r="4" spans="2:6" ht="28.8" x14ac:dyDescent="0.3">
      <c r="B4" s="16" t="s">
        <v>182</v>
      </c>
      <c r="C4" s="2"/>
      <c r="D4" s="5"/>
      <c r="E4" s="5" t="s">
        <v>235</v>
      </c>
      <c r="F4" s="5"/>
    </row>
    <row r="5" spans="2:6" ht="28.8" x14ac:dyDescent="0.3">
      <c r="B5" s="16" t="s">
        <v>183</v>
      </c>
      <c r="C5" s="2"/>
      <c r="D5" s="5"/>
      <c r="E5" s="5" t="s">
        <v>235</v>
      </c>
      <c r="F5" s="5"/>
    </row>
    <row r="7" spans="2:6" x14ac:dyDescent="0.3">
      <c r="B7" s="4" t="s">
        <v>6</v>
      </c>
    </row>
    <row r="11" spans="2:6" x14ac:dyDescent="0.3">
      <c r="F11" s="19"/>
    </row>
  </sheetData>
  <mergeCells count="1">
    <mergeCell ref="C1:F1"/>
  </mergeCells>
  <hyperlinks>
    <hyperlink ref="D3" location="Foundation!A1" display="Found" xr:uid="{00000000-0004-0000-1800-000000000000}"/>
    <hyperlink ref="E3" location="Higher!A1" display="High" xr:uid="{00000000-0004-0000-18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1">
    <tabColor theme="5" tint="0.39997558519241921"/>
    <pageSetUpPr fitToPage="1"/>
  </sheetPr>
  <dimension ref="B1:F13"/>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42</v>
      </c>
      <c r="D1" s="88"/>
      <c r="E1" s="88"/>
      <c r="F1" s="89"/>
    </row>
    <row r="3" spans="2:6" x14ac:dyDescent="0.3">
      <c r="B3" s="20" t="s">
        <v>2</v>
      </c>
      <c r="C3" s="3" t="s">
        <v>3</v>
      </c>
      <c r="D3" s="10" t="s">
        <v>1</v>
      </c>
      <c r="E3" s="10" t="s">
        <v>4</v>
      </c>
      <c r="F3" s="3" t="s">
        <v>274</v>
      </c>
    </row>
    <row r="4" spans="2:6" ht="43.2" x14ac:dyDescent="0.3">
      <c r="B4" s="16" t="s">
        <v>123</v>
      </c>
      <c r="C4" s="2"/>
      <c r="D4" s="5" t="s">
        <v>234</v>
      </c>
      <c r="E4" s="5" t="s">
        <v>235</v>
      </c>
      <c r="F4" s="5"/>
    </row>
    <row r="5" spans="2:6" x14ac:dyDescent="0.3">
      <c r="B5" s="16" t="s">
        <v>184</v>
      </c>
      <c r="C5" s="2"/>
      <c r="D5" s="5" t="s">
        <v>234</v>
      </c>
      <c r="E5" s="5" t="s">
        <v>235</v>
      </c>
      <c r="F5" s="5"/>
    </row>
    <row r="6" spans="2:6" ht="57.6" x14ac:dyDescent="0.3">
      <c r="B6" s="16" t="s">
        <v>185</v>
      </c>
      <c r="C6" s="2"/>
      <c r="D6" s="5"/>
      <c r="E6" s="5" t="s">
        <v>235</v>
      </c>
      <c r="F6" s="5"/>
    </row>
    <row r="7" spans="2:6" x14ac:dyDescent="0.3">
      <c r="B7" s="16" t="s">
        <v>184</v>
      </c>
      <c r="C7" s="2"/>
      <c r="D7" s="5" t="s">
        <v>234</v>
      </c>
      <c r="E7" s="5" t="s">
        <v>235</v>
      </c>
      <c r="F7" s="5"/>
    </row>
    <row r="8" spans="2:6" ht="28.8" x14ac:dyDescent="0.3">
      <c r="B8" s="16" t="s">
        <v>186</v>
      </c>
      <c r="C8" s="2"/>
      <c r="D8" s="5"/>
      <c r="E8" s="5" t="s">
        <v>235</v>
      </c>
      <c r="F8" s="5"/>
    </row>
    <row r="9" spans="2:6" ht="57.6" x14ac:dyDescent="0.3">
      <c r="B9" s="16" t="s">
        <v>189</v>
      </c>
      <c r="C9" s="2"/>
      <c r="D9" s="5"/>
      <c r="E9" s="5" t="s">
        <v>235</v>
      </c>
      <c r="F9" s="5"/>
    </row>
    <row r="10" spans="2:6" ht="28.8" x14ac:dyDescent="0.3">
      <c r="B10" s="16" t="s">
        <v>188</v>
      </c>
      <c r="C10" s="2"/>
      <c r="D10" s="5" t="s">
        <v>234</v>
      </c>
      <c r="E10" s="5" t="s">
        <v>235</v>
      </c>
      <c r="F10" s="5"/>
    </row>
    <row r="11" spans="2:6" ht="28.8" x14ac:dyDescent="0.3">
      <c r="B11" s="16" t="s">
        <v>187</v>
      </c>
      <c r="C11" s="2"/>
      <c r="D11" s="5" t="s">
        <v>234</v>
      </c>
      <c r="E11" s="5" t="s">
        <v>235</v>
      </c>
      <c r="F11" s="5"/>
    </row>
    <row r="12" spans="2:6" x14ac:dyDescent="0.3">
      <c r="F12" s="19"/>
    </row>
    <row r="13" spans="2:6" x14ac:dyDescent="0.3">
      <c r="B13" s="4" t="s">
        <v>6</v>
      </c>
    </row>
  </sheetData>
  <mergeCells count="1">
    <mergeCell ref="C1:F1"/>
  </mergeCells>
  <hyperlinks>
    <hyperlink ref="D3" location="Foundation!A1" display="Found" xr:uid="{00000000-0004-0000-1900-000000000000}"/>
    <hyperlink ref="E3" location="Higher!A1" display="High" xr:uid="{00000000-0004-0000-19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39997558519241921"/>
  </sheetPr>
  <dimension ref="B1:F8"/>
  <sheetViews>
    <sheetView workbookViewId="0">
      <selection activeCell="F3" sqref="F3"/>
    </sheetView>
  </sheetViews>
  <sheetFormatPr defaultRowHeight="14.4" x14ac:dyDescent="0.3"/>
  <cols>
    <col min="1" max="1" width="4.21875" customWidth="1"/>
    <col min="2" max="2" width="43.21875" customWidth="1"/>
    <col min="6" max="6" width="24.77734375" customWidth="1"/>
  </cols>
  <sheetData>
    <row r="1" spans="2:6" ht="21.6" thickBot="1" x14ac:dyDescent="0.45">
      <c r="B1" s="18" t="s">
        <v>5</v>
      </c>
      <c r="C1" s="87" t="s">
        <v>232</v>
      </c>
      <c r="D1" s="88"/>
      <c r="E1" s="88"/>
      <c r="F1" s="89"/>
    </row>
    <row r="2" spans="2:6" x14ac:dyDescent="0.3">
      <c r="B2" s="19"/>
      <c r="D2" s="1"/>
      <c r="E2" s="1"/>
    </row>
    <row r="3" spans="2:6" x14ac:dyDescent="0.3">
      <c r="B3" s="20" t="s">
        <v>2</v>
      </c>
      <c r="C3" s="3" t="s">
        <v>3</v>
      </c>
      <c r="D3" s="10" t="s">
        <v>1</v>
      </c>
      <c r="E3" s="10" t="s">
        <v>4</v>
      </c>
      <c r="F3" s="3" t="s">
        <v>274</v>
      </c>
    </row>
    <row r="4" spans="2:6" ht="28.8" x14ac:dyDescent="0.3">
      <c r="B4" s="16" t="s">
        <v>253</v>
      </c>
      <c r="C4" s="2"/>
      <c r="D4" s="5" t="s">
        <v>234</v>
      </c>
      <c r="E4" s="5" t="s">
        <v>235</v>
      </c>
      <c r="F4" s="5"/>
    </row>
    <row r="5" spans="2:6" x14ac:dyDescent="0.3">
      <c r="B5" s="16" t="s">
        <v>184</v>
      </c>
      <c r="C5" s="2"/>
      <c r="D5" s="5" t="s">
        <v>234</v>
      </c>
      <c r="E5" s="5" t="s">
        <v>235</v>
      </c>
      <c r="F5" s="5"/>
    </row>
    <row r="6" spans="2:6" x14ac:dyDescent="0.3">
      <c r="B6" s="19"/>
      <c r="D6" s="1"/>
      <c r="E6" s="1"/>
    </row>
    <row r="7" spans="2:6" x14ac:dyDescent="0.3">
      <c r="B7" s="4" t="s">
        <v>6</v>
      </c>
      <c r="D7" s="1"/>
      <c r="E7" s="1"/>
    </row>
    <row r="8" spans="2:6" x14ac:dyDescent="0.3">
      <c r="B8" s="19"/>
      <c r="D8" s="1"/>
      <c r="E8" s="1"/>
      <c r="F8" s="19"/>
    </row>
  </sheetData>
  <mergeCells count="1">
    <mergeCell ref="C1:F1"/>
  </mergeCells>
  <hyperlinks>
    <hyperlink ref="D3" location="Foundation!A1" display="Found" xr:uid="{00000000-0004-0000-1A00-000000000000}"/>
    <hyperlink ref="E3" location="Higher!A1" display="High" xr:uid="{00000000-0004-0000-1A00-000001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3">
    <tabColor theme="5" tint="0.39997558519241921"/>
    <pageSetUpPr fitToPage="1"/>
  </sheetPr>
  <dimension ref="B1:F11"/>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43</v>
      </c>
      <c r="D1" s="88"/>
      <c r="E1" s="88"/>
      <c r="F1" s="89"/>
    </row>
    <row r="3" spans="2:6" x14ac:dyDescent="0.3">
      <c r="B3" s="20" t="s">
        <v>2</v>
      </c>
      <c r="C3" s="3" t="s">
        <v>3</v>
      </c>
      <c r="D3" s="10" t="s">
        <v>1</v>
      </c>
      <c r="E3" s="10" t="s">
        <v>4</v>
      </c>
      <c r="F3" s="3" t="s">
        <v>274</v>
      </c>
    </row>
    <row r="4" spans="2:6" ht="43.2" x14ac:dyDescent="0.3">
      <c r="B4" s="16" t="s">
        <v>190</v>
      </c>
      <c r="C4" s="2"/>
      <c r="D4" s="5" t="s">
        <v>234</v>
      </c>
      <c r="E4" s="5" t="s">
        <v>235</v>
      </c>
      <c r="F4" s="5"/>
    </row>
    <row r="5" spans="2:6" x14ac:dyDescent="0.3">
      <c r="B5" s="16" t="s">
        <v>184</v>
      </c>
      <c r="C5" s="2"/>
      <c r="D5" s="5" t="s">
        <v>234</v>
      </c>
      <c r="E5" s="5" t="s">
        <v>235</v>
      </c>
      <c r="F5" s="5"/>
    </row>
    <row r="6" spans="2:6" ht="28.8" x14ac:dyDescent="0.3">
      <c r="B6" s="16" t="s">
        <v>188</v>
      </c>
      <c r="C6" s="2"/>
      <c r="D6" s="5" t="s">
        <v>234</v>
      </c>
      <c r="E6" s="5" t="s">
        <v>235</v>
      </c>
      <c r="F6" s="5"/>
    </row>
    <row r="7" spans="2:6" x14ac:dyDescent="0.3">
      <c r="B7" s="16" t="s">
        <v>191</v>
      </c>
      <c r="C7" s="2"/>
      <c r="D7" s="5" t="s">
        <v>234</v>
      </c>
      <c r="E7" s="5" t="s">
        <v>235</v>
      </c>
      <c r="F7" s="5"/>
    </row>
    <row r="8" spans="2:6" x14ac:dyDescent="0.3">
      <c r="B8" s="16" t="s">
        <v>192</v>
      </c>
      <c r="C8" s="2"/>
      <c r="D8" s="5" t="s">
        <v>234</v>
      </c>
      <c r="E8" s="5" t="s">
        <v>235</v>
      </c>
      <c r="F8" s="5"/>
    </row>
    <row r="10" spans="2:6" x14ac:dyDescent="0.3">
      <c r="B10" s="4" t="s">
        <v>6</v>
      </c>
    </row>
    <row r="11" spans="2:6" x14ac:dyDescent="0.3">
      <c r="F11" s="19"/>
    </row>
  </sheetData>
  <mergeCells count="1">
    <mergeCell ref="C1:F1"/>
  </mergeCells>
  <hyperlinks>
    <hyperlink ref="D3" location="Foundation!A1" display="Found" xr:uid="{00000000-0004-0000-1B00-000000000000}"/>
    <hyperlink ref="E3" location="Higher!A1" display="High" xr:uid="{00000000-0004-0000-1B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4">
    <tabColor theme="5" tint="0.39997558519241921"/>
    <pageSetUpPr fitToPage="1"/>
  </sheetPr>
  <dimension ref="B1:F9"/>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41</v>
      </c>
      <c r="D1" s="88"/>
      <c r="E1" s="88"/>
      <c r="F1" s="89"/>
    </row>
    <row r="3" spans="2:6" x14ac:dyDescent="0.3">
      <c r="B3" s="20" t="s">
        <v>2</v>
      </c>
      <c r="C3" s="3" t="s">
        <v>3</v>
      </c>
      <c r="D3" s="10" t="s">
        <v>1</v>
      </c>
      <c r="E3" s="10" t="s">
        <v>4</v>
      </c>
      <c r="F3" s="3" t="s">
        <v>274</v>
      </c>
    </row>
    <row r="4" spans="2:6" ht="28.8" x14ac:dyDescent="0.3">
      <c r="B4" s="16" t="s">
        <v>181</v>
      </c>
      <c r="C4" s="2"/>
      <c r="D4" s="5"/>
      <c r="E4" s="5" t="s">
        <v>235</v>
      </c>
      <c r="F4" s="5"/>
    </row>
    <row r="6" spans="2:6" x14ac:dyDescent="0.3">
      <c r="B6" s="4" t="s">
        <v>6</v>
      </c>
    </row>
    <row r="9" spans="2:6" x14ac:dyDescent="0.3">
      <c r="F9" s="19"/>
    </row>
  </sheetData>
  <mergeCells count="1">
    <mergeCell ref="C1:F1"/>
  </mergeCells>
  <hyperlinks>
    <hyperlink ref="D3" location="Foundation!A1" display="Found" xr:uid="{00000000-0004-0000-1C00-000000000000}"/>
    <hyperlink ref="E3" location="Higher!A1" display="High" xr:uid="{00000000-0004-0000-1C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39997558519241921"/>
  </sheetPr>
  <dimension ref="B1:F9"/>
  <sheetViews>
    <sheetView workbookViewId="0">
      <selection activeCell="F3" sqref="F3"/>
    </sheetView>
  </sheetViews>
  <sheetFormatPr defaultRowHeight="14.4" x14ac:dyDescent="0.3"/>
  <cols>
    <col min="1" max="1" width="3.6640625" customWidth="1"/>
    <col min="2" max="2" width="43.33203125" customWidth="1"/>
    <col min="6" max="6" width="22.44140625" customWidth="1"/>
  </cols>
  <sheetData>
    <row r="1" spans="2:6" ht="21.6" thickBot="1" x14ac:dyDescent="0.45">
      <c r="B1" s="18" t="s">
        <v>5</v>
      </c>
      <c r="C1" s="87" t="s">
        <v>46</v>
      </c>
      <c r="D1" s="88"/>
      <c r="E1" s="88"/>
      <c r="F1" s="89"/>
    </row>
    <row r="2" spans="2:6" x14ac:dyDescent="0.3">
      <c r="B2" s="19"/>
      <c r="D2" s="1"/>
      <c r="E2" s="1"/>
    </row>
    <row r="3" spans="2:6" x14ac:dyDescent="0.3">
      <c r="B3" s="20" t="s">
        <v>2</v>
      </c>
      <c r="C3" s="3" t="s">
        <v>3</v>
      </c>
      <c r="D3" s="10" t="s">
        <v>1</v>
      </c>
      <c r="E3" s="10" t="s">
        <v>4</v>
      </c>
      <c r="F3" s="3" t="s">
        <v>274</v>
      </c>
    </row>
    <row r="4" spans="2:6" x14ac:dyDescent="0.3">
      <c r="B4" s="16" t="s">
        <v>247</v>
      </c>
      <c r="C4" s="2"/>
      <c r="D4" s="5" t="s">
        <v>234</v>
      </c>
      <c r="E4" s="5" t="s">
        <v>235</v>
      </c>
      <c r="F4" s="5"/>
    </row>
    <row r="5" spans="2:6" x14ac:dyDescent="0.3">
      <c r="B5" s="16" t="s">
        <v>248</v>
      </c>
      <c r="C5" s="2"/>
      <c r="D5" s="5" t="s">
        <v>234</v>
      </c>
      <c r="E5" s="5" t="s">
        <v>235</v>
      </c>
      <c r="F5" s="5"/>
    </row>
    <row r="6" spans="2:6" ht="28.8" x14ac:dyDescent="0.3">
      <c r="B6" s="16" t="s">
        <v>197</v>
      </c>
      <c r="C6" s="2"/>
      <c r="D6" s="5"/>
      <c r="E6" s="5" t="s">
        <v>235</v>
      </c>
      <c r="F6" s="5"/>
    </row>
    <row r="7" spans="2:6" ht="28.8" x14ac:dyDescent="0.3">
      <c r="B7" s="16" t="s">
        <v>198</v>
      </c>
      <c r="C7" s="2"/>
      <c r="D7" s="5"/>
      <c r="E7" s="5" t="s">
        <v>235</v>
      </c>
      <c r="F7" s="5"/>
    </row>
    <row r="8" spans="2:6" x14ac:dyDescent="0.3">
      <c r="B8" s="19"/>
      <c r="D8" s="1"/>
      <c r="E8" s="1"/>
    </row>
    <row r="9" spans="2:6" x14ac:dyDescent="0.3">
      <c r="B9" s="4" t="s">
        <v>6</v>
      </c>
      <c r="D9" s="1"/>
      <c r="E9" s="1"/>
    </row>
  </sheetData>
  <mergeCells count="1">
    <mergeCell ref="C1:F1"/>
  </mergeCells>
  <hyperlinks>
    <hyperlink ref="D3" location="Foundation!A1" display="Found" xr:uid="{00000000-0004-0000-1D00-000000000000}"/>
    <hyperlink ref="E3" location="Higher!A1" display="High" xr:uid="{00000000-0004-0000-1D00-00000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39997558519241921"/>
  </sheetPr>
  <dimension ref="B1:H8"/>
  <sheetViews>
    <sheetView workbookViewId="0">
      <selection activeCell="D3" sqref="D3"/>
    </sheetView>
  </sheetViews>
  <sheetFormatPr defaultRowHeight="14.4" x14ac:dyDescent="0.3"/>
  <cols>
    <col min="1" max="1" width="4.77734375" customWidth="1"/>
    <col min="2" max="2" width="45.21875" customWidth="1"/>
    <col min="6" max="6" width="22.44140625" customWidth="1"/>
  </cols>
  <sheetData>
    <row r="1" spans="2:8" ht="21.6" thickBot="1" x14ac:dyDescent="0.45">
      <c r="B1" s="18" t="s">
        <v>5</v>
      </c>
      <c r="C1" s="87" t="s">
        <v>26</v>
      </c>
      <c r="D1" s="88"/>
      <c r="E1" s="88"/>
      <c r="F1" s="89"/>
    </row>
    <row r="2" spans="2:8" x14ac:dyDescent="0.3">
      <c r="B2" s="19"/>
      <c r="D2" s="1"/>
      <c r="E2" s="1"/>
    </row>
    <row r="3" spans="2:8" x14ac:dyDescent="0.3">
      <c r="B3" s="20" t="s">
        <v>2</v>
      </c>
      <c r="C3" s="3" t="s">
        <v>3</v>
      </c>
      <c r="D3" s="10" t="s">
        <v>1</v>
      </c>
      <c r="E3" s="10" t="s">
        <v>4</v>
      </c>
      <c r="F3" s="3" t="s">
        <v>274</v>
      </c>
    </row>
    <row r="4" spans="2:8" ht="28.2" customHeight="1" x14ac:dyDescent="0.3">
      <c r="B4" s="16" t="s">
        <v>93</v>
      </c>
      <c r="C4" s="2"/>
      <c r="D4" s="5" t="s">
        <v>234</v>
      </c>
      <c r="E4" s="5" t="s">
        <v>235</v>
      </c>
      <c r="F4" s="5"/>
    </row>
    <row r="5" spans="2:8" ht="129.6" x14ac:dyDescent="0.3">
      <c r="B5" s="16" t="s">
        <v>238</v>
      </c>
      <c r="C5" s="2"/>
      <c r="D5" s="5" t="s">
        <v>234</v>
      </c>
      <c r="E5" s="5" t="s">
        <v>235</v>
      </c>
      <c r="F5" s="5"/>
      <c r="H5" s="30"/>
    </row>
    <row r="6" spans="2:8" ht="28.8" x14ac:dyDescent="0.3">
      <c r="B6" s="16" t="s">
        <v>94</v>
      </c>
      <c r="C6" s="2"/>
      <c r="D6" s="5" t="s">
        <v>234</v>
      </c>
      <c r="E6" s="5" t="s">
        <v>235</v>
      </c>
      <c r="F6" s="5"/>
    </row>
    <row r="7" spans="2:8" ht="14.25" customHeight="1" x14ac:dyDescent="0.3">
      <c r="B7" s="19"/>
      <c r="D7" s="1"/>
      <c r="E7" s="1"/>
    </row>
    <row r="8" spans="2:8" x14ac:dyDescent="0.3">
      <c r="B8" s="4" t="s">
        <v>6</v>
      </c>
      <c r="D8" s="1"/>
      <c r="E8" s="1"/>
    </row>
  </sheetData>
  <mergeCells count="1">
    <mergeCell ref="C1:F1"/>
  </mergeCells>
  <hyperlinks>
    <hyperlink ref="D3" location="Foundation!A1" display="Found" xr:uid="{00000000-0004-0000-1E00-000000000000}"/>
    <hyperlink ref="E3" location="Higher!A1" display="High"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pageSetUpPr fitToPage="1"/>
  </sheetPr>
  <dimension ref="B1:F12"/>
  <sheetViews>
    <sheetView zoomScaleNormal="100" workbookViewId="0">
      <selection activeCell="D3" sqref="D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80</v>
      </c>
      <c r="D1" s="88"/>
      <c r="E1" s="88"/>
      <c r="F1" s="89"/>
    </row>
    <row r="3" spans="2:6" x14ac:dyDescent="0.3">
      <c r="B3" s="20" t="s">
        <v>2</v>
      </c>
      <c r="C3" s="3" t="s">
        <v>3</v>
      </c>
      <c r="D3" s="10" t="s">
        <v>1</v>
      </c>
      <c r="E3" s="10" t="s">
        <v>4</v>
      </c>
      <c r="F3" s="3" t="s">
        <v>274</v>
      </c>
    </row>
    <row r="4" spans="2:6" ht="72" x14ac:dyDescent="0.3">
      <c r="B4" s="16" t="s">
        <v>55</v>
      </c>
      <c r="C4" s="2"/>
      <c r="D4" s="5" t="s">
        <v>234</v>
      </c>
      <c r="E4" s="5" t="s">
        <v>235</v>
      </c>
      <c r="F4" s="13"/>
    </row>
    <row r="5" spans="2:6" ht="28.8" x14ac:dyDescent="0.3">
      <c r="B5" s="16" t="s">
        <v>54</v>
      </c>
      <c r="C5" s="2"/>
      <c r="D5" s="5" t="s">
        <v>234</v>
      </c>
      <c r="E5" s="5" t="s">
        <v>235</v>
      </c>
      <c r="F5" s="13"/>
    </row>
    <row r="6" spans="2:6" x14ac:dyDescent="0.3">
      <c r="B6" s="16" t="s">
        <v>56</v>
      </c>
      <c r="C6" s="2"/>
      <c r="D6" s="5" t="s">
        <v>234</v>
      </c>
      <c r="E6" s="5" t="s">
        <v>235</v>
      </c>
      <c r="F6" s="5"/>
    </row>
    <row r="7" spans="2:6" ht="43.2" x14ac:dyDescent="0.3">
      <c r="B7" s="16" t="s">
        <v>57</v>
      </c>
      <c r="C7" s="2"/>
      <c r="D7" s="5" t="s">
        <v>234</v>
      </c>
      <c r="E7" s="5" t="s">
        <v>235</v>
      </c>
      <c r="F7" s="13"/>
    </row>
    <row r="8" spans="2:6" ht="28.8" x14ac:dyDescent="0.3">
      <c r="B8" s="16" t="s">
        <v>58</v>
      </c>
      <c r="C8" s="2"/>
      <c r="D8" s="5" t="s">
        <v>234</v>
      </c>
      <c r="E8" s="5" t="s">
        <v>235</v>
      </c>
      <c r="F8" s="5"/>
    </row>
    <row r="9" spans="2:6" x14ac:dyDescent="0.3">
      <c r="B9" s="16" t="s">
        <v>59</v>
      </c>
      <c r="C9" s="2"/>
      <c r="D9" s="5"/>
      <c r="E9" s="5" t="s">
        <v>235</v>
      </c>
      <c r="F9" s="13"/>
    </row>
    <row r="10" spans="2:6" ht="43.2" x14ac:dyDescent="0.3">
      <c r="B10" s="16" t="s">
        <v>60</v>
      </c>
      <c r="C10" s="2"/>
      <c r="D10" s="5"/>
      <c r="E10" s="5" t="s">
        <v>235</v>
      </c>
      <c r="F10" s="13"/>
    </row>
    <row r="11" spans="2:6" x14ac:dyDescent="0.3">
      <c r="F11" s="19"/>
    </row>
    <row r="12" spans="2:6" x14ac:dyDescent="0.3">
      <c r="B12" s="4" t="s">
        <v>6</v>
      </c>
      <c r="D12"/>
      <c r="E12"/>
    </row>
  </sheetData>
  <mergeCells count="1">
    <mergeCell ref="C1:F1"/>
  </mergeCells>
  <hyperlinks>
    <hyperlink ref="D3" location="Foundation!A1" display="Found" xr:uid="{00000000-0004-0000-1F00-000000000000}"/>
    <hyperlink ref="E3" location="Higher!A1" display="High" xr:uid="{00000000-0004-0000-1F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pageSetUpPr fitToPage="1"/>
  </sheetPr>
  <dimension ref="B1:F10"/>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153</v>
      </c>
      <c r="D1" s="88"/>
      <c r="E1" s="88"/>
      <c r="F1" s="89"/>
    </row>
    <row r="3" spans="2:6" x14ac:dyDescent="0.3">
      <c r="B3" s="20" t="s">
        <v>2</v>
      </c>
      <c r="C3" s="3" t="s">
        <v>3</v>
      </c>
      <c r="D3" s="10" t="s">
        <v>1</v>
      </c>
      <c r="E3" s="10" t="s">
        <v>4</v>
      </c>
      <c r="F3" s="3" t="s">
        <v>274</v>
      </c>
    </row>
    <row r="4" spans="2:6" ht="86.4" x14ac:dyDescent="0.3">
      <c r="B4" s="16" t="s">
        <v>241</v>
      </c>
      <c r="C4" s="2"/>
      <c r="D4" s="5" t="s">
        <v>234</v>
      </c>
      <c r="E4" s="5" t="s">
        <v>235</v>
      </c>
      <c r="F4" s="13"/>
    </row>
    <row r="5" spans="2:6" ht="28.8" x14ac:dyDescent="0.3">
      <c r="B5" s="16" t="s">
        <v>154</v>
      </c>
      <c r="C5" s="2"/>
      <c r="D5" s="5" t="s">
        <v>234</v>
      </c>
      <c r="E5" s="5" t="s">
        <v>235</v>
      </c>
      <c r="F5" s="13"/>
    </row>
    <row r="6" spans="2:6" ht="28.5" customHeight="1" x14ac:dyDescent="0.3">
      <c r="B6" s="16" t="s">
        <v>155</v>
      </c>
      <c r="C6" s="2"/>
      <c r="D6" s="5" t="s">
        <v>234</v>
      </c>
      <c r="E6" s="5" t="s">
        <v>235</v>
      </c>
      <c r="F6" s="13"/>
    </row>
    <row r="8" spans="2:6" x14ac:dyDescent="0.3">
      <c r="B8" s="4" t="s">
        <v>6</v>
      </c>
      <c r="D8"/>
      <c r="E8"/>
    </row>
    <row r="10" spans="2:6" x14ac:dyDescent="0.3">
      <c r="F10" s="19"/>
    </row>
  </sheetData>
  <mergeCells count="1">
    <mergeCell ref="C1:F1"/>
  </mergeCells>
  <hyperlinks>
    <hyperlink ref="D3" location="Foundation!A1" display="Found" xr:uid="{00000000-0004-0000-2000-000000000000}"/>
    <hyperlink ref="E3" location="Higher!A1" display="High" xr:uid="{00000000-0004-0000-20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pageSetUpPr fitToPage="1"/>
  </sheetPr>
  <dimension ref="B1:F7"/>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120</v>
      </c>
      <c r="D1" s="88"/>
      <c r="E1" s="88"/>
      <c r="F1" s="89"/>
    </row>
    <row r="3" spans="2:6" x14ac:dyDescent="0.3">
      <c r="B3" s="20" t="s">
        <v>2</v>
      </c>
      <c r="C3" s="3" t="s">
        <v>3</v>
      </c>
      <c r="D3" s="10" t="s">
        <v>1</v>
      </c>
      <c r="E3" s="10" t="s">
        <v>4</v>
      </c>
      <c r="F3" s="3" t="s">
        <v>274</v>
      </c>
    </row>
    <row r="4" spans="2:6" ht="57.6" x14ac:dyDescent="0.3">
      <c r="B4" s="16" t="s">
        <v>121</v>
      </c>
      <c r="C4" s="2"/>
      <c r="D4" s="5" t="s">
        <v>234</v>
      </c>
      <c r="E4" s="5" t="s">
        <v>235</v>
      </c>
      <c r="F4" s="17"/>
    </row>
    <row r="5" spans="2:6" ht="100.8" x14ac:dyDescent="0.3">
      <c r="B5" s="16" t="s">
        <v>244</v>
      </c>
      <c r="C5" s="2"/>
      <c r="D5" s="5" t="s">
        <v>234</v>
      </c>
      <c r="E5" s="5" t="s">
        <v>235</v>
      </c>
      <c r="F5" s="17"/>
    </row>
    <row r="7" spans="2:6" x14ac:dyDescent="0.3">
      <c r="B7" s="4" t="s">
        <v>6</v>
      </c>
      <c r="D7"/>
      <c r="E7"/>
    </row>
  </sheetData>
  <mergeCells count="1">
    <mergeCell ref="C1:F1"/>
  </mergeCells>
  <hyperlinks>
    <hyperlink ref="D3" location="Foundation!A1" display="Found" xr:uid="{00000000-0004-0000-2100-000000000000}"/>
    <hyperlink ref="E3" location="Higher!A1" display="High" xr:uid="{00000000-0004-0000-21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pageSetUpPr fitToPage="1"/>
  </sheetPr>
  <dimension ref="B1:F8"/>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144</v>
      </c>
      <c r="D1" s="88"/>
      <c r="E1" s="88"/>
      <c r="F1" s="89"/>
    </row>
    <row r="3" spans="2:6" x14ac:dyDescent="0.3">
      <c r="B3" s="20" t="s">
        <v>2</v>
      </c>
      <c r="C3" s="3" t="s">
        <v>3</v>
      </c>
      <c r="D3" s="10" t="s">
        <v>1</v>
      </c>
      <c r="E3" s="10" t="s">
        <v>4</v>
      </c>
      <c r="F3" s="3" t="s">
        <v>274</v>
      </c>
    </row>
    <row r="4" spans="2:6" ht="28.8" x14ac:dyDescent="0.3">
      <c r="B4" s="16" t="s">
        <v>145</v>
      </c>
      <c r="C4" s="2"/>
      <c r="D4" s="5" t="s">
        <v>234</v>
      </c>
      <c r="E4" s="5" t="s">
        <v>235</v>
      </c>
      <c r="F4" s="5"/>
    </row>
    <row r="5" spans="2:6" ht="86.4" x14ac:dyDescent="0.3">
      <c r="B5" s="16" t="s">
        <v>146</v>
      </c>
      <c r="C5" s="2"/>
      <c r="D5" s="5" t="s">
        <v>234</v>
      </c>
      <c r="E5" s="5" t="s">
        <v>235</v>
      </c>
      <c r="F5" s="13"/>
    </row>
    <row r="6" spans="2:6" ht="43.2" x14ac:dyDescent="0.3">
      <c r="B6" s="16" t="s">
        <v>147</v>
      </c>
      <c r="C6" s="2"/>
      <c r="D6" s="5" t="s">
        <v>234</v>
      </c>
      <c r="E6" s="5" t="s">
        <v>235</v>
      </c>
      <c r="F6" s="13"/>
    </row>
    <row r="7" spans="2:6" x14ac:dyDescent="0.3">
      <c r="F7" s="19"/>
    </row>
    <row r="8" spans="2:6" x14ac:dyDescent="0.3">
      <c r="B8" s="4" t="s">
        <v>6</v>
      </c>
      <c r="D8"/>
      <c r="E8"/>
    </row>
  </sheetData>
  <mergeCells count="1">
    <mergeCell ref="C1:F1"/>
  </mergeCells>
  <hyperlinks>
    <hyperlink ref="D3" location="Foundation!A1" display="Found" xr:uid="{00000000-0004-0000-2200-000000000000}"/>
    <hyperlink ref="E3" location="Higher!A1" display="High" xr:uid="{00000000-0004-0000-22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pageSetUpPr fitToPage="1"/>
  </sheetPr>
  <dimension ref="B1:F8"/>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10</v>
      </c>
      <c r="D1" s="88"/>
      <c r="E1" s="88"/>
      <c r="F1" s="89"/>
    </row>
    <row r="3" spans="2:6" x14ac:dyDescent="0.3">
      <c r="B3" s="20" t="s">
        <v>2</v>
      </c>
      <c r="C3" s="3" t="s">
        <v>3</v>
      </c>
      <c r="D3" s="10" t="s">
        <v>1</v>
      </c>
      <c r="E3" s="10" t="s">
        <v>4</v>
      </c>
      <c r="F3" s="3" t="s">
        <v>274</v>
      </c>
    </row>
    <row r="4" spans="2:6" ht="72" x14ac:dyDescent="0.3">
      <c r="B4" s="16" t="s">
        <v>141</v>
      </c>
      <c r="C4" s="2"/>
      <c r="D4" s="5" t="s">
        <v>234</v>
      </c>
      <c r="E4" s="5" t="s">
        <v>235</v>
      </c>
      <c r="F4" s="13"/>
    </row>
    <row r="5" spans="2:6" x14ac:dyDescent="0.3">
      <c r="B5" s="16" t="s">
        <v>142</v>
      </c>
      <c r="C5" s="2"/>
      <c r="D5" s="5" t="s">
        <v>234</v>
      </c>
      <c r="E5" s="5" t="s">
        <v>235</v>
      </c>
      <c r="F5" s="13"/>
    </row>
    <row r="6" spans="2:6" ht="43.2" x14ac:dyDescent="0.3">
      <c r="B6" s="16" t="s">
        <v>143</v>
      </c>
      <c r="C6" s="2"/>
      <c r="D6" s="5"/>
      <c r="E6" s="5" t="s">
        <v>235</v>
      </c>
      <c r="F6" s="13"/>
    </row>
    <row r="8" spans="2:6" x14ac:dyDescent="0.3">
      <c r="B8" s="4" t="s">
        <v>6</v>
      </c>
      <c r="D8"/>
      <c r="E8"/>
    </row>
  </sheetData>
  <mergeCells count="1">
    <mergeCell ref="C1:F1"/>
  </mergeCells>
  <hyperlinks>
    <hyperlink ref="D3" location="Foundation!A1" display="Found" xr:uid="{00000000-0004-0000-2300-000000000000}"/>
    <hyperlink ref="E3" location="Higher!A1" display="High" xr:uid="{00000000-0004-0000-23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29</v>
      </c>
      <c r="D1" s="88"/>
      <c r="E1" s="88"/>
      <c r="F1" s="89"/>
    </row>
    <row r="3" spans="2:6" x14ac:dyDescent="0.3">
      <c r="B3" s="20" t="s">
        <v>2</v>
      </c>
      <c r="C3" s="3" t="s">
        <v>3</v>
      </c>
      <c r="D3" s="10" t="s">
        <v>1</v>
      </c>
      <c r="E3" s="10" t="s">
        <v>4</v>
      </c>
      <c r="F3" s="3" t="s">
        <v>274</v>
      </c>
    </row>
    <row r="4" spans="2:6" ht="57.6" x14ac:dyDescent="0.3">
      <c r="B4" s="16" t="s">
        <v>104</v>
      </c>
      <c r="C4" s="2"/>
      <c r="D4" s="5" t="s">
        <v>234</v>
      </c>
      <c r="E4" s="5" t="s">
        <v>235</v>
      </c>
      <c r="F4" s="17"/>
    </row>
    <row r="5" spans="2:6" ht="43.2" x14ac:dyDescent="0.3">
      <c r="B5" s="16" t="s">
        <v>245</v>
      </c>
      <c r="C5" s="2"/>
      <c r="D5" s="5" t="s">
        <v>234</v>
      </c>
      <c r="E5" s="5" t="s">
        <v>235</v>
      </c>
      <c r="F5" s="13"/>
    </row>
    <row r="6" spans="2:6" ht="28.8" x14ac:dyDescent="0.3">
      <c r="B6" s="16" t="s">
        <v>105</v>
      </c>
      <c r="C6" s="2"/>
      <c r="D6" s="5" t="s">
        <v>234</v>
      </c>
      <c r="E6" s="5" t="s">
        <v>235</v>
      </c>
      <c r="F6" s="13"/>
    </row>
    <row r="7" spans="2:6" x14ac:dyDescent="0.3">
      <c r="B7" s="16" t="s">
        <v>106</v>
      </c>
      <c r="C7" s="2"/>
      <c r="D7" s="5" t="s">
        <v>234</v>
      </c>
      <c r="E7" s="5" t="s">
        <v>235</v>
      </c>
      <c r="F7" s="13"/>
    </row>
    <row r="8" spans="2:6" ht="28.8" x14ac:dyDescent="0.3">
      <c r="B8" s="16" t="s">
        <v>107</v>
      </c>
      <c r="C8" s="2"/>
      <c r="D8" s="5" t="s">
        <v>234</v>
      </c>
      <c r="E8" s="5" t="s">
        <v>235</v>
      </c>
      <c r="F8" s="13"/>
    </row>
    <row r="9" spans="2:6" ht="28.8" x14ac:dyDescent="0.3">
      <c r="B9" s="16" t="s">
        <v>108</v>
      </c>
      <c r="C9" s="2"/>
      <c r="D9" s="5" t="s">
        <v>234</v>
      </c>
      <c r="E9" s="5" t="s">
        <v>235</v>
      </c>
      <c r="F9" s="13"/>
    </row>
    <row r="10" spans="2:6" ht="14.25" customHeight="1" x14ac:dyDescent="0.3">
      <c r="B10" s="16" t="s">
        <v>240</v>
      </c>
      <c r="C10" s="2"/>
      <c r="D10" s="5" t="s">
        <v>234</v>
      </c>
      <c r="E10" s="5"/>
      <c r="F10" s="13"/>
    </row>
    <row r="12" spans="2:6" x14ac:dyDescent="0.3">
      <c r="B12" s="4" t="s">
        <v>6</v>
      </c>
      <c r="D12"/>
      <c r="E12"/>
      <c r="F12" s="19"/>
    </row>
  </sheetData>
  <mergeCells count="1">
    <mergeCell ref="C1:F1"/>
  </mergeCells>
  <hyperlinks>
    <hyperlink ref="D3" location="Foundation!A1" display="Found" xr:uid="{00000000-0004-0000-2400-000000000000}"/>
    <hyperlink ref="E3" location="Higher!A1" display="High" xr:uid="{00000000-0004-0000-24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pageSetUpPr fitToPage="1"/>
  </sheetPr>
  <dimension ref="B1:F8"/>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50</v>
      </c>
      <c r="D1" s="88"/>
      <c r="E1" s="88"/>
      <c r="F1" s="89"/>
    </row>
    <row r="3" spans="2:6" x14ac:dyDescent="0.3">
      <c r="B3" s="20" t="s">
        <v>2</v>
      </c>
      <c r="C3" s="3" t="s">
        <v>3</v>
      </c>
      <c r="D3" s="10" t="s">
        <v>1</v>
      </c>
      <c r="E3" s="10" t="s">
        <v>4</v>
      </c>
      <c r="F3" s="3" t="s">
        <v>274</v>
      </c>
    </row>
    <row r="4" spans="2:6" ht="43.2" x14ac:dyDescent="0.3">
      <c r="B4" s="16" t="s">
        <v>209</v>
      </c>
      <c r="C4" s="2"/>
      <c r="D4" s="5"/>
      <c r="E4" s="5" t="s">
        <v>235</v>
      </c>
      <c r="F4" s="13"/>
    </row>
    <row r="6" spans="2:6" x14ac:dyDescent="0.3">
      <c r="B6" s="4" t="s">
        <v>6</v>
      </c>
      <c r="D6"/>
      <c r="E6"/>
    </row>
    <row r="8" spans="2:6" x14ac:dyDescent="0.3">
      <c r="F8" s="19"/>
    </row>
  </sheetData>
  <mergeCells count="1">
    <mergeCell ref="C1:F1"/>
  </mergeCells>
  <hyperlinks>
    <hyperlink ref="D3" location="Foundation!A1" display="Found" xr:uid="{00000000-0004-0000-2500-000000000000}"/>
    <hyperlink ref="E3" location="Higher!A1" display="High" xr:uid="{00000000-0004-0000-25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pageSetUpPr fitToPage="1"/>
  </sheetPr>
  <dimension ref="B1:F11"/>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23</v>
      </c>
      <c r="D1" s="88"/>
      <c r="E1" s="88"/>
      <c r="F1" s="89"/>
    </row>
    <row r="3" spans="2:6" x14ac:dyDescent="0.3">
      <c r="B3" s="20" t="s">
        <v>2</v>
      </c>
      <c r="C3" s="3" t="s">
        <v>3</v>
      </c>
      <c r="D3" s="10" t="s">
        <v>1</v>
      </c>
      <c r="E3" s="10" t="s">
        <v>4</v>
      </c>
      <c r="F3" s="3" t="s">
        <v>274</v>
      </c>
    </row>
    <row r="4" spans="2:6" x14ac:dyDescent="0.3">
      <c r="B4" s="16" t="s">
        <v>82</v>
      </c>
      <c r="C4" s="2"/>
      <c r="D4" s="5" t="s">
        <v>234</v>
      </c>
      <c r="E4" s="5" t="s">
        <v>235</v>
      </c>
      <c r="F4" s="15"/>
    </row>
    <row r="5" spans="2:6" x14ac:dyDescent="0.3">
      <c r="B5" s="16" t="s">
        <v>83</v>
      </c>
      <c r="C5" s="2"/>
      <c r="D5" s="5" t="s">
        <v>234</v>
      </c>
      <c r="E5" s="5" t="s">
        <v>235</v>
      </c>
      <c r="F5" s="15"/>
    </row>
    <row r="6" spans="2:6" ht="28.8" x14ac:dyDescent="0.3">
      <c r="B6" s="16" t="s">
        <v>84</v>
      </c>
      <c r="C6" s="2"/>
      <c r="D6" s="5" t="s">
        <v>234</v>
      </c>
      <c r="E6" s="5" t="s">
        <v>235</v>
      </c>
      <c r="F6" s="15"/>
    </row>
    <row r="7" spans="2:6" ht="28.8" x14ac:dyDescent="0.3">
      <c r="B7" s="16" t="s">
        <v>85</v>
      </c>
      <c r="C7" s="2"/>
      <c r="D7" s="5" t="s">
        <v>234</v>
      </c>
      <c r="E7" s="5" t="s">
        <v>235</v>
      </c>
      <c r="F7" s="15"/>
    </row>
    <row r="8" spans="2:6" ht="43.2" x14ac:dyDescent="0.3">
      <c r="B8" s="16" t="s">
        <v>86</v>
      </c>
      <c r="C8" s="2"/>
      <c r="D8" s="5" t="s">
        <v>234</v>
      </c>
      <c r="E8" s="5" t="s">
        <v>235</v>
      </c>
      <c r="F8" s="15"/>
    </row>
    <row r="9" spans="2:6" ht="28.8" x14ac:dyDescent="0.3">
      <c r="B9" s="16" t="s">
        <v>87</v>
      </c>
      <c r="C9" s="2"/>
      <c r="D9" s="5" t="s">
        <v>234</v>
      </c>
      <c r="E9" s="5" t="s">
        <v>235</v>
      </c>
      <c r="F9" s="15"/>
    </row>
    <row r="11" spans="2:6" x14ac:dyDescent="0.3">
      <c r="B11" s="4" t="s">
        <v>6</v>
      </c>
      <c r="D11"/>
      <c r="E11"/>
      <c r="F11" s="19"/>
    </row>
  </sheetData>
  <mergeCells count="1">
    <mergeCell ref="C1:F1"/>
  </mergeCells>
  <hyperlinks>
    <hyperlink ref="D3" location="Foundation!A1" display="Found" xr:uid="{00000000-0004-0000-2600-000000000000}"/>
    <hyperlink ref="E3" location="Higher!A1" display="High" xr:uid="{00000000-0004-0000-26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28</v>
      </c>
      <c r="D1" s="88"/>
      <c r="E1" s="88"/>
      <c r="F1" s="89"/>
    </row>
    <row r="3" spans="2:6" x14ac:dyDescent="0.3">
      <c r="B3" s="20" t="s">
        <v>2</v>
      </c>
      <c r="C3" s="3" t="s">
        <v>3</v>
      </c>
      <c r="D3" s="10" t="s">
        <v>1</v>
      </c>
      <c r="E3" s="10" t="s">
        <v>4</v>
      </c>
      <c r="F3" s="3" t="s">
        <v>274</v>
      </c>
    </row>
    <row r="4" spans="2:6" ht="43.2" x14ac:dyDescent="0.3">
      <c r="B4" s="16" t="s">
        <v>101</v>
      </c>
      <c r="C4" s="2"/>
      <c r="D4" s="5" t="s">
        <v>234</v>
      </c>
      <c r="E4" s="5" t="s">
        <v>235</v>
      </c>
      <c r="F4" s="15"/>
    </row>
    <row r="5" spans="2:6" ht="28.8" x14ac:dyDescent="0.3">
      <c r="B5" s="16" t="s">
        <v>102</v>
      </c>
      <c r="C5" s="2"/>
      <c r="D5" s="5" t="s">
        <v>234</v>
      </c>
      <c r="E5" s="5" t="s">
        <v>235</v>
      </c>
      <c r="F5" s="15"/>
    </row>
    <row r="6" spans="2:6" x14ac:dyDescent="0.3">
      <c r="B6" s="16" t="s">
        <v>239</v>
      </c>
      <c r="C6" s="2"/>
      <c r="D6" s="5" t="s">
        <v>234</v>
      </c>
      <c r="E6" s="5"/>
      <c r="F6" s="15"/>
    </row>
    <row r="7" spans="2:6" ht="28.8" x14ac:dyDescent="0.3">
      <c r="B7" s="16" t="s">
        <v>103</v>
      </c>
      <c r="C7" s="2"/>
      <c r="D7" s="5" t="s">
        <v>234</v>
      </c>
      <c r="E7" s="5" t="s">
        <v>235</v>
      </c>
      <c r="F7" s="15"/>
    </row>
    <row r="8" spans="2:6" ht="57.6" x14ac:dyDescent="0.3">
      <c r="B8" s="16" t="s">
        <v>246</v>
      </c>
      <c r="C8" s="2"/>
      <c r="D8" s="5" t="s">
        <v>234</v>
      </c>
      <c r="E8" s="5" t="s">
        <v>235</v>
      </c>
      <c r="F8" s="15"/>
    </row>
    <row r="10" spans="2:6" x14ac:dyDescent="0.3">
      <c r="B10" s="4" t="s">
        <v>6</v>
      </c>
    </row>
    <row r="12" spans="2:6" x14ac:dyDescent="0.3">
      <c r="F12" s="19"/>
    </row>
  </sheetData>
  <mergeCells count="1">
    <mergeCell ref="C1:F1"/>
  </mergeCells>
  <hyperlinks>
    <hyperlink ref="D3" location="Foundation!A1" display="Found" xr:uid="{00000000-0004-0000-2700-000000000000}"/>
    <hyperlink ref="E3" location="Higher!A1" display="High" xr:uid="{00000000-0004-0000-27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pageSetUpPr fitToPage="1"/>
  </sheetPr>
  <dimension ref="B1:F11"/>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35</v>
      </c>
      <c r="D1" s="88"/>
      <c r="E1" s="88"/>
      <c r="F1" s="89"/>
    </row>
    <row r="3" spans="2:6" x14ac:dyDescent="0.3">
      <c r="B3" s="20" t="s">
        <v>2</v>
      </c>
      <c r="C3" s="3" t="s">
        <v>3</v>
      </c>
      <c r="D3" s="10" t="s">
        <v>1</v>
      </c>
      <c r="E3" s="10" t="s">
        <v>4</v>
      </c>
      <c r="F3" s="3" t="s">
        <v>274</v>
      </c>
    </row>
    <row r="4" spans="2:6" ht="28.8" x14ac:dyDescent="0.3">
      <c r="B4" s="16" t="s">
        <v>148</v>
      </c>
      <c r="C4" s="2"/>
      <c r="D4" s="5" t="s">
        <v>234</v>
      </c>
      <c r="E4" s="5" t="s">
        <v>235</v>
      </c>
      <c r="F4" s="15"/>
    </row>
    <row r="6" spans="2:6" x14ac:dyDescent="0.3">
      <c r="B6" s="4" t="s">
        <v>6</v>
      </c>
      <c r="D6"/>
      <c r="E6"/>
    </row>
    <row r="11" spans="2:6" x14ac:dyDescent="0.3">
      <c r="F11" s="19"/>
    </row>
  </sheetData>
  <mergeCells count="1">
    <mergeCell ref="C1:F1"/>
  </mergeCells>
  <hyperlinks>
    <hyperlink ref="D3" location="Foundation!A1" display="Found" xr:uid="{00000000-0004-0000-2800-000000000000}"/>
    <hyperlink ref="E3" location="Higher!A1" display="High" xr:uid="{00000000-0004-0000-28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15</v>
      </c>
      <c r="D1" s="88"/>
      <c r="E1" s="88"/>
      <c r="F1" s="89"/>
    </row>
    <row r="3" spans="2:6" x14ac:dyDescent="0.3">
      <c r="B3" s="20" t="s">
        <v>2</v>
      </c>
      <c r="C3" s="3" t="s">
        <v>3</v>
      </c>
      <c r="D3" s="10" t="s">
        <v>1</v>
      </c>
      <c r="E3" s="10" t="s">
        <v>4</v>
      </c>
      <c r="F3" s="3" t="s">
        <v>274</v>
      </c>
    </row>
    <row r="4" spans="2:6" ht="28.8" x14ac:dyDescent="0.3">
      <c r="B4" s="16" t="s">
        <v>90</v>
      </c>
      <c r="C4" s="2"/>
      <c r="D4" s="5" t="s">
        <v>234</v>
      </c>
      <c r="E4" s="5" t="s">
        <v>235</v>
      </c>
      <c r="F4" s="15"/>
    </row>
    <row r="5" spans="2:6" ht="43.2" x14ac:dyDescent="0.3">
      <c r="B5" s="16" t="s">
        <v>137</v>
      </c>
      <c r="C5" s="2"/>
      <c r="D5" s="5" t="s">
        <v>234</v>
      </c>
      <c r="E5" s="5" t="s">
        <v>235</v>
      </c>
      <c r="F5" s="15"/>
    </row>
    <row r="6" spans="2:6" ht="57.6" x14ac:dyDescent="0.3">
      <c r="B6" s="16" t="s">
        <v>138</v>
      </c>
      <c r="C6" s="2"/>
      <c r="D6" s="5" t="s">
        <v>234</v>
      </c>
      <c r="E6" s="5" t="s">
        <v>235</v>
      </c>
      <c r="F6" s="15"/>
    </row>
    <row r="7" spans="2:6" ht="72" x14ac:dyDescent="0.3">
      <c r="B7" s="16" t="s">
        <v>139</v>
      </c>
      <c r="C7" s="2"/>
      <c r="D7" s="5" t="s">
        <v>234</v>
      </c>
      <c r="E7" s="5" t="s">
        <v>235</v>
      </c>
      <c r="F7" s="15"/>
    </row>
    <row r="8" spans="2:6" ht="28.8" x14ac:dyDescent="0.3">
      <c r="B8" s="16" t="s">
        <v>140</v>
      </c>
      <c r="C8" s="2"/>
      <c r="D8" s="5" t="s">
        <v>234</v>
      </c>
      <c r="E8" s="5" t="s">
        <v>235</v>
      </c>
      <c r="F8" s="15"/>
    </row>
    <row r="10" spans="2:6" x14ac:dyDescent="0.3">
      <c r="B10" s="4" t="s">
        <v>6</v>
      </c>
    </row>
    <row r="12" spans="2:6" x14ac:dyDescent="0.3">
      <c r="F12" s="19"/>
    </row>
  </sheetData>
  <mergeCells count="1">
    <mergeCell ref="C1:F1"/>
  </mergeCells>
  <hyperlinks>
    <hyperlink ref="D3" location="Foundation!A1" display="Found" xr:uid="{00000000-0004-0000-2900-000000000000}"/>
    <hyperlink ref="E3" location="Higher!A1" display="High" xr:uid="{00000000-0004-0000-29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1:F7"/>
  <sheetViews>
    <sheetView workbookViewId="0">
      <selection activeCell="F3" sqref="F3"/>
    </sheetView>
  </sheetViews>
  <sheetFormatPr defaultRowHeight="14.4" x14ac:dyDescent="0.3"/>
  <cols>
    <col min="1" max="1" width="3.21875" customWidth="1"/>
    <col min="2" max="2" width="43.33203125" customWidth="1"/>
    <col min="6" max="6" width="22.77734375" customWidth="1"/>
  </cols>
  <sheetData>
    <row r="1" spans="2:6" ht="21.6" thickBot="1" x14ac:dyDescent="0.45">
      <c r="B1" s="18" t="s">
        <v>5</v>
      </c>
      <c r="C1" s="87" t="s">
        <v>260</v>
      </c>
      <c r="D1" s="88"/>
      <c r="E1" s="88"/>
      <c r="F1" s="89"/>
    </row>
    <row r="2" spans="2:6" x14ac:dyDescent="0.3">
      <c r="B2" s="19"/>
      <c r="D2" s="1"/>
      <c r="E2" s="1"/>
    </row>
    <row r="3" spans="2:6" x14ac:dyDescent="0.3">
      <c r="B3" s="20" t="s">
        <v>2</v>
      </c>
      <c r="C3" s="3" t="s">
        <v>3</v>
      </c>
      <c r="D3" s="10" t="s">
        <v>1</v>
      </c>
      <c r="E3" s="10" t="s">
        <v>4</v>
      </c>
      <c r="F3" s="3" t="s">
        <v>274</v>
      </c>
    </row>
    <row r="4" spans="2:6" x14ac:dyDescent="0.3">
      <c r="B4" s="16" t="s">
        <v>59</v>
      </c>
      <c r="C4" s="2"/>
      <c r="D4" s="5" t="s">
        <v>234</v>
      </c>
      <c r="E4" s="5" t="s">
        <v>235</v>
      </c>
      <c r="F4" s="15"/>
    </row>
    <row r="5" spans="2:6" ht="43.2" x14ac:dyDescent="0.3">
      <c r="B5" s="16" t="s">
        <v>236</v>
      </c>
      <c r="C5" s="2"/>
      <c r="D5" s="5" t="s">
        <v>234</v>
      </c>
      <c r="E5" s="5" t="s">
        <v>235</v>
      </c>
      <c r="F5" s="15"/>
    </row>
    <row r="6" spans="2:6" x14ac:dyDescent="0.3">
      <c r="B6" s="19"/>
      <c r="D6" s="1"/>
      <c r="E6" s="1"/>
    </row>
    <row r="7" spans="2:6" x14ac:dyDescent="0.3">
      <c r="B7" s="4" t="s">
        <v>6</v>
      </c>
      <c r="D7" s="1"/>
      <c r="E7" s="1"/>
    </row>
  </sheetData>
  <mergeCells count="1">
    <mergeCell ref="C1:F1"/>
  </mergeCells>
  <hyperlinks>
    <hyperlink ref="D3" location="Foundation!A1" display="Found" xr:uid="{00000000-0004-0000-2A00-000000000000}"/>
    <hyperlink ref="E3" location="Higher!A1" display="High" xr:uid="{00000000-0004-0000-2A00-000001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pageSetUpPr fitToPage="1"/>
  </sheetPr>
  <dimension ref="B1:F12"/>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39</v>
      </c>
      <c r="D1" s="88"/>
      <c r="E1" s="88"/>
      <c r="F1" s="89"/>
    </row>
    <row r="3" spans="2:6" x14ac:dyDescent="0.3">
      <c r="B3" s="20" t="s">
        <v>2</v>
      </c>
      <c r="C3" s="3" t="s">
        <v>3</v>
      </c>
      <c r="D3" s="10" t="s">
        <v>1</v>
      </c>
      <c r="E3" s="10" t="s">
        <v>4</v>
      </c>
      <c r="F3" s="3" t="s">
        <v>274</v>
      </c>
    </row>
    <row r="4" spans="2:6" ht="28.8" x14ac:dyDescent="0.3">
      <c r="B4" s="16" t="s">
        <v>162</v>
      </c>
      <c r="C4" s="2"/>
      <c r="D4" s="5" t="s">
        <v>234</v>
      </c>
      <c r="E4" s="5" t="s">
        <v>235</v>
      </c>
      <c r="F4" s="15"/>
    </row>
    <row r="5" spans="2:6" x14ac:dyDescent="0.3">
      <c r="B5" s="16" t="s">
        <v>163</v>
      </c>
      <c r="C5" s="2"/>
      <c r="D5" s="5" t="s">
        <v>234</v>
      </c>
      <c r="E5" s="5" t="s">
        <v>235</v>
      </c>
      <c r="F5" s="15"/>
    </row>
    <row r="6" spans="2:6" x14ac:dyDescent="0.3">
      <c r="B6" s="16" t="s">
        <v>167</v>
      </c>
      <c r="C6" s="2"/>
      <c r="D6" s="5" t="s">
        <v>234</v>
      </c>
      <c r="E6" s="5" t="s">
        <v>235</v>
      </c>
      <c r="F6" s="15"/>
    </row>
    <row r="7" spans="2:6" ht="43.2" x14ac:dyDescent="0.3">
      <c r="B7" s="16" t="s">
        <v>164</v>
      </c>
      <c r="C7" s="2"/>
      <c r="D7" s="5" t="s">
        <v>234</v>
      </c>
      <c r="E7" s="5" t="s">
        <v>235</v>
      </c>
      <c r="F7" s="15"/>
    </row>
    <row r="8" spans="2:6" ht="28.8" x14ac:dyDescent="0.3">
      <c r="B8" s="16" t="s">
        <v>165</v>
      </c>
      <c r="C8" s="2"/>
      <c r="D8" s="5" t="s">
        <v>234</v>
      </c>
      <c r="E8" s="5" t="s">
        <v>235</v>
      </c>
      <c r="F8" s="15"/>
    </row>
    <row r="9" spans="2:6" x14ac:dyDescent="0.3">
      <c r="B9" s="16" t="s">
        <v>166</v>
      </c>
      <c r="C9" s="2"/>
      <c r="D9" s="5" t="s">
        <v>234</v>
      </c>
      <c r="E9" s="5" t="s">
        <v>235</v>
      </c>
      <c r="F9" s="15"/>
    </row>
    <row r="11" spans="2:6" x14ac:dyDescent="0.3">
      <c r="B11" s="4" t="s">
        <v>6</v>
      </c>
    </row>
    <row r="12" spans="2:6" x14ac:dyDescent="0.3">
      <c r="F12" s="19"/>
    </row>
  </sheetData>
  <mergeCells count="1">
    <mergeCell ref="C1:F1"/>
  </mergeCells>
  <hyperlinks>
    <hyperlink ref="D3" location="Foundation!A1" display="Found" xr:uid="{00000000-0004-0000-2B00-000000000000}"/>
    <hyperlink ref="E3" location="Higher!A1" display="High" xr:uid="{00000000-0004-0000-2B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B1:F13"/>
  <sheetViews>
    <sheetView zoomScaleNormal="100" workbookViewId="0">
      <selection activeCell="F3" sqref="F3"/>
    </sheetView>
  </sheetViews>
  <sheetFormatPr defaultColWidth="9.109375" defaultRowHeight="14.4" x14ac:dyDescent="0.3"/>
  <cols>
    <col min="1" max="1" width="4" customWidth="1"/>
    <col min="2" max="2" width="43.21875" style="19" customWidth="1"/>
    <col min="4" max="5" width="7.21875" style="1" customWidth="1"/>
    <col min="6" max="6" width="32.77734375" customWidth="1"/>
  </cols>
  <sheetData>
    <row r="1" spans="2:6" ht="21.6" thickBot="1" x14ac:dyDescent="0.45">
      <c r="B1" s="18" t="s">
        <v>5</v>
      </c>
      <c r="C1" s="87" t="s">
        <v>199</v>
      </c>
      <c r="D1" s="88"/>
      <c r="E1" s="88"/>
      <c r="F1" s="89"/>
    </row>
    <row r="3" spans="2:6" x14ac:dyDescent="0.3">
      <c r="B3" s="20" t="s">
        <v>2</v>
      </c>
      <c r="C3" s="3" t="s">
        <v>3</v>
      </c>
      <c r="D3" s="10" t="s">
        <v>1</v>
      </c>
      <c r="E3" s="10" t="s">
        <v>4</v>
      </c>
      <c r="F3" s="3" t="s">
        <v>274</v>
      </c>
    </row>
    <row r="4" spans="2:6" ht="30.6" x14ac:dyDescent="0.3">
      <c r="B4" s="16" t="s">
        <v>252</v>
      </c>
      <c r="C4" s="2"/>
      <c r="D4" s="5" t="s">
        <v>234</v>
      </c>
      <c r="E4" s="5" t="s">
        <v>235</v>
      </c>
      <c r="F4" s="13"/>
    </row>
    <row r="5" spans="2:6" ht="28.8" x14ac:dyDescent="0.3">
      <c r="B5" s="16" t="s">
        <v>249</v>
      </c>
      <c r="C5" s="2"/>
      <c r="D5" s="5" t="s">
        <v>234</v>
      </c>
      <c r="E5" s="5" t="s">
        <v>235</v>
      </c>
      <c r="F5" s="13"/>
    </row>
    <row r="6" spans="2:6" ht="43.2" x14ac:dyDescent="0.3">
      <c r="B6" s="16" t="s">
        <v>200</v>
      </c>
      <c r="C6" s="2"/>
      <c r="D6" s="5"/>
      <c r="E6" s="5" t="s">
        <v>235</v>
      </c>
      <c r="F6" s="13"/>
    </row>
    <row r="7" spans="2:6" x14ac:dyDescent="0.3">
      <c r="B7" s="16" t="s">
        <v>201</v>
      </c>
      <c r="C7" s="2"/>
      <c r="D7" s="5"/>
      <c r="E7" s="5" t="s">
        <v>235</v>
      </c>
      <c r="F7" s="13"/>
    </row>
    <row r="8" spans="2:6" ht="32.4" x14ac:dyDescent="0.3">
      <c r="B8" s="16" t="s">
        <v>220</v>
      </c>
      <c r="C8" s="9"/>
      <c r="D8" s="5"/>
      <c r="E8" s="5" t="s">
        <v>235</v>
      </c>
      <c r="F8" s="13"/>
    </row>
    <row r="9" spans="2:6" ht="32.4" x14ac:dyDescent="0.3">
      <c r="B9" s="16" t="s">
        <v>221</v>
      </c>
      <c r="C9" s="9"/>
      <c r="D9" s="5"/>
      <c r="E9" s="5" t="s">
        <v>235</v>
      </c>
      <c r="F9" s="13"/>
    </row>
    <row r="10" spans="2:6" ht="72" x14ac:dyDescent="0.3">
      <c r="B10" s="16" t="s">
        <v>202</v>
      </c>
      <c r="C10" s="9"/>
      <c r="D10" s="5"/>
      <c r="E10" s="5" t="s">
        <v>235</v>
      </c>
      <c r="F10" s="13"/>
    </row>
    <row r="11" spans="2:6" ht="28.8" x14ac:dyDescent="0.3">
      <c r="B11" s="16" t="s">
        <v>203</v>
      </c>
      <c r="C11" s="9"/>
      <c r="D11" s="5"/>
      <c r="E11" s="5" t="s">
        <v>235</v>
      </c>
      <c r="F11" s="13"/>
    </row>
    <row r="13" spans="2:6" x14ac:dyDescent="0.3">
      <c r="B13" s="4" t="s">
        <v>6</v>
      </c>
      <c r="F13" s="19"/>
    </row>
  </sheetData>
  <mergeCells count="1">
    <mergeCell ref="C1:F1"/>
  </mergeCells>
  <hyperlinks>
    <hyperlink ref="D3" location="Foundation!A1" display="Found" xr:uid="{00000000-0004-0000-2C00-000000000000}"/>
    <hyperlink ref="E3" location="Higher!A1" display="High" xr:uid="{00000000-0004-0000-2C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1:F11"/>
  <sheetViews>
    <sheetView workbookViewId="0">
      <selection activeCell="F3" sqref="F3"/>
    </sheetView>
  </sheetViews>
  <sheetFormatPr defaultRowHeight="14.4" x14ac:dyDescent="0.3"/>
  <cols>
    <col min="1" max="1" width="3.109375" customWidth="1"/>
    <col min="2" max="2" width="43.21875" customWidth="1"/>
    <col min="6" max="6" width="25" customWidth="1"/>
  </cols>
  <sheetData>
    <row r="1" spans="2:6" ht="21.6" thickBot="1" x14ac:dyDescent="0.45">
      <c r="B1" s="18" t="s">
        <v>5</v>
      </c>
      <c r="C1" s="87" t="s">
        <v>231</v>
      </c>
      <c r="D1" s="88"/>
      <c r="E1" s="88"/>
      <c r="F1" s="89"/>
    </row>
    <row r="2" spans="2:6" x14ac:dyDescent="0.3">
      <c r="B2" s="19"/>
      <c r="D2" s="1"/>
      <c r="E2" s="1"/>
    </row>
    <row r="3" spans="2:6" x14ac:dyDescent="0.3">
      <c r="B3" s="20" t="s">
        <v>2</v>
      </c>
      <c r="C3" s="3" t="s">
        <v>3</v>
      </c>
      <c r="D3" s="10" t="s">
        <v>1</v>
      </c>
      <c r="E3" s="10" t="s">
        <v>4</v>
      </c>
      <c r="F3" s="3" t="s">
        <v>274</v>
      </c>
    </row>
    <row r="4" spans="2:6" x14ac:dyDescent="0.3">
      <c r="B4" s="16" t="s">
        <v>201</v>
      </c>
      <c r="C4" s="2"/>
      <c r="D4" s="5" t="s">
        <v>234</v>
      </c>
      <c r="E4" s="5" t="s">
        <v>235</v>
      </c>
      <c r="F4" s="13"/>
    </row>
    <row r="5" spans="2:6" ht="32.4" x14ac:dyDescent="0.3">
      <c r="B5" s="16" t="s">
        <v>220</v>
      </c>
      <c r="C5" s="9"/>
      <c r="D5" s="5" t="s">
        <v>234</v>
      </c>
      <c r="E5" s="5" t="s">
        <v>235</v>
      </c>
      <c r="F5" s="13"/>
    </row>
    <row r="6" spans="2:6" ht="32.4" x14ac:dyDescent="0.3">
      <c r="B6" s="16" t="s">
        <v>221</v>
      </c>
      <c r="C6" s="9"/>
      <c r="D6" s="5" t="s">
        <v>234</v>
      </c>
      <c r="E6" s="5" t="s">
        <v>235</v>
      </c>
      <c r="F6" s="13"/>
    </row>
    <row r="7" spans="2:6" ht="72" x14ac:dyDescent="0.3">
      <c r="B7" s="16" t="s">
        <v>202</v>
      </c>
      <c r="C7" s="9"/>
      <c r="D7" s="5" t="s">
        <v>234</v>
      </c>
      <c r="E7" s="5" t="s">
        <v>235</v>
      </c>
      <c r="F7" s="13"/>
    </row>
    <row r="8" spans="2:6" ht="28.8" x14ac:dyDescent="0.3">
      <c r="B8" s="16" t="s">
        <v>203</v>
      </c>
      <c r="C8" s="9"/>
      <c r="D8" s="5" t="s">
        <v>234</v>
      </c>
      <c r="E8" s="5" t="s">
        <v>235</v>
      </c>
      <c r="F8" s="13"/>
    </row>
    <row r="9" spans="2:6" x14ac:dyDescent="0.3">
      <c r="B9" s="19"/>
      <c r="D9" s="1"/>
      <c r="E9" s="1"/>
    </row>
    <row r="10" spans="2:6" x14ac:dyDescent="0.3">
      <c r="B10" s="4" t="s">
        <v>6</v>
      </c>
      <c r="D10" s="1"/>
      <c r="E10" s="1"/>
      <c r="F10" s="19"/>
    </row>
    <row r="11" spans="2:6" x14ac:dyDescent="0.3">
      <c r="B11" s="19"/>
      <c r="D11" s="1"/>
      <c r="E11" s="1"/>
    </row>
  </sheetData>
  <mergeCells count="1">
    <mergeCell ref="C1:F1"/>
  </mergeCells>
  <hyperlinks>
    <hyperlink ref="D3" location="Foundation!A1" display="Found" xr:uid="{00000000-0004-0000-2D00-000000000000}"/>
    <hyperlink ref="E3" location="Higher!A1" display="High" xr:uid="{00000000-0004-0000-2D00-000001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1:F7"/>
  <sheetViews>
    <sheetView workbookViewId="0">
      <selection activeCell="F3" sqref="F3"/>
    </sheetView>
  </sheetViews>
  <sheetFormatPr defaultRowHeight="14.4" x14ac:dyDescent="0.3"/>
  <cols>
    <col min="1" max="1" width="3.21875" customWidth="1"/>
    <col min="2" max="2" width="43" customWidth="1"/>
    <col min="6" max="6" width="25" customWidth="1"/>
  </cols>
  <sheetData>
    <row r="1" spans="2:6" ht="21.45" customHeight="1" thickBot="1" x14ac:dyDescent="0.45">
      <c r="B1" s="18" t="s">
        <v>5</v>
      </c>
      <c r="C1" s="150" t="s">
        <v>49</v>
      </c>
      <c r="D1" s="151"/>
      <c r="E1" s="151"/>
      <c r="F1" s="152"/>
    </row>
    <row r="2" spans="2:6" x14ac:dyDescent="0.3">
      <c r="B2" s="19"/>
      <c r="D2" s="1"/>
      <c r="E2" s="1"/>
    </row>
    <row r="3" spans="2:6" x14ac:dyDescent="0.3">
      <c r="B3" s="20" t="s">
        <v>2</v>
      </c>
      <c r="C3" s="3" t="s">
        <v>3</v>
      </c>
      <c r="D3" s="10" t="s">
        <v>1</v>
      </c>
      <c r="E3" s="10" t="s">
        <v>4</v>
      </c>
      <c r="F3" s="3" t="s">
        <v>274</v>
      </c>
    </row>
    <row r="4" spans="2:6" ht="28.8" x14ac:dyDescent="0.3">
      <c r="B4" s="16" t="s">
        <v>207</v>
      </c>
      <c r="C4" s="9"/>
      <c r="D4" s="5"/>
      <c r="E4" s="5" t="s">
        <v>235</v>
      </c>
      <c r="F4" s="28"/>
    </row>
    <row r="5" spans="2:6" ht="28.8" x14ac:dyDescent="0.3">
      <c r="B5" s="16" t="s">
        <v>208</v>
      </c>
      <c r="C5" s="9"/>
      <c r="D5" s="5"/>
      <c r="E5" s="5" t="s">
        <v>235</v>
      </c>
      <c r="F5" s="27"/>
    </row>
    <row r="6" spans="2:6" x14ac:dyDescent="0.3">
      <c r="B6" s="19"/>
      <c r="D6" s="1"/>
      <c r="E6" s="1"/>
    </row>
    <row r="7" spans="2:6" x14ac:dyDescent="0.3">
      <c r="B7" s="4" t="s">
        <v>6</v>
      </c>
    </row>
  </sheetData>
  <mergeCells count="1">
    <mergeCell ref="C1:F1"/>
  </mergeCells>
  <hyperlinks>
    <hyperlink ref="D3" location="Foundation!A1" display="Found" xr:uid="{00000000-0004-0000-2E00-000000000000}"/>
    <hyperlink ref="E3" location="Higher!A1" display="High" xr:uid="{00000000-0004-0000-2E00-000001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1:F7"/>
  <sheetViews>
    <sheetView workbookViewId="0">
      <selection activeCell="F3" sqref="F3"/>
    </sheetView>
  </sheetViews>
  <sheetFormatPr defaultRowHeight="14.4" x14ac:dyDescent="0.3"/>
  <cols>
    <col min="1" max="1" width="3.109375" customWidth="1"/>
    <col min="2" max="2" width="43" customWidth="1"/>
    <col min="6" max="6" width="24.88671875" customWidth="1"/>
  </cols>
  <sheetData>
    <row r="1" spans="2:6" ht="21.45" customHeight="1" thickBot="1" x14ac:dyDescent="0.45">
      <c r="B1" s="18" t="s">
        <v>5</v>
      </c>
      <c r="C1" s="150" t="s">
        <v>11</v>
      </c>
      <c r="D1" s="151"/>
      <c r="E1" s="151"/>
      <c r="F1" s="152"/>
    </row>
    <row r="2" spans="2:6" x14ac:dyDescent="0.3">
      <c r="B2" s="19"/>
      <c r="D2" s="1"/>
      <c r="E2" s="1"/>
    </row>
    <row r="3" spans="2:6" x14ac:dyDescent="0.3">
      <c r="B3" s="20" t="s">
        <v>2</v>
      </c>
      <c r="C3" s="3" t="s">
        <v>3</v>
      </c>
      <c r="D3" s="10" t="s">
        <v>1</v>
      </c>
      <c r="E3" s="10" t="s">
        <v>4</v>
      </c>
      <c r="F3" s="3" t="s">
        <v>274</v>
      </c>
    </row>
    <row r="4" spans="2:6" ht="57.6" x14ac:dyDescent="0.3">
      <c r="B4" s="16" t="s">
        <v>204</v>
      </c>
      <c r="C4" s="9"/>
      <c r="D4" s="5" t="s">
        <v>234</v>
      </c>
      <c r="E4" s="5" t="s">
        <v>235</v>
      </c>
      <c r="F4" s="28"/>
    </row>
    <row r="5" spans="2:6" ht="28.8" x14ac:dyDescent="0.3">
      <c r="B5" s="16" t="s">
        <v>205</v>
      </c>
      <c r="C5" s="9"/>
      <c r="D5" s="5"/>
      <c r="E5" s="5" t="s">
        <v>235</v>
      </c>
      <c r="F5" s="27"/>
    </row>
    <row r="6" spans="2:6" x14ac:dyDescent="0.3">
      <c r="B6" s="19"/>
      <c r="D6" s="1"/>
      <c r="E6" s="1"/>
    </row>
    <row r="7" spans="2:6" x14ac:dyDescent="0.3">
      <c r="B7" s="4" t="s">
        <v>6</v>
      </c>
    </row>
  </sheetData>
  <mergeCells count="1">
    <mergeCell ref="C1:F1"/>
  </mergeCells>
  <hyperlinks>
    <hyperlink ref="D3" location="Foundation!A1" display="Found" xr:uid="{00000000-0004-0000-2F00-000000000000}"/>
    <hyperlink ref="E3" location="Higher!A1" display="High" xr:uid="{00000000-0004-0000-2F00-000001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7" tint="0.39997558519241921"/>
    <pageSetUpPr fitToPage="1"/>
  </sheetPr>
  <dimension ref="B1:F9"/>
  <sheetViews>
    <sheetView zoomScaleNormal="100" workbookViewId="0">
      <selection activeCell="D3" sqref="D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12</v>
      </c>
      <c r="D1" s="88"/>
      <c r="E1" s="88"/>
      <c r="F1" s="89"/>
    </row>
    <row r="3" spans="2:6" x14ac:dyDescent="0.3">
      <c r="B3" s="20" t="s">
        <v>2</v>
      </c>
      <c r="C3" s="3" t="s">
        <v>3</v>
      </c>
      <c r="D3" s="10" t="s">
        <v>1</v>
      </c>
      <c r="E3" s="10" t="s">
        <v>4</v>
      </c>
      <c r="F3" s="3" t="s">
        <v>274</v>
      </c>
    </row>
    <row r="4" spans="2:6" ht="43.2" x14ac:dyDescent="0.3">
      <c r="B4" s="16" t="s">
        <v>131</v>
      </c>
      <c r="C4" s="2"/>
      <c r="D4" s="5" t="s">
        <v>234</v>
      </c>
      <c r="E4" s="5" t="s">
        <v>235</v>
      </c>
      <c r="F4" s="13"/>
    </row>
    <row r="5" spans="2:6" ht="28.8" x14ac:dyDescent="0.3">
      <c r="B5" s="16" t="s">
        <v>132</v>
      </c>
      <c r="C5" s="2"/>
      <c r="D5" s="5" t="s">
        <v>234</v>
      </c>
      <c r="E5" s="5" t="s">
        <v>235</v>
      </c>
      <c r="F5" s="13"/>
    </row>
    <row r="6" spans="2:6" ht="43.2" x14ac:dyDescent="0.3">
      <c r="B6" s="16" t="s">
        <v>133</v>
      </c>
      <c r="C6" s="2"/>
      <c r="D6" s="5" t="s">
        <v>234</v>
      </c>
      <c r="E6" s="5" t="s">
        <v>235</v>
      </c>
      <c r="F6" s="13"/>
    </row>
    <row r="7" spans="2:6" ht="57.6" x14ac:dyDescent="0.3">
      <c r="B7" s="16" t="s">
        <v>134</v>
      </c>
      <c r="C7" s="2"/>
      <c r="D7" s="5" t="s">
        <v>234</v>
      </c>
      <c r="E7" s="5" t="s">
        <v>235</v>
      </c>
      <c r="F7" s="13"/>
    </row>
    <row r="9" spans="2:6" x14ac:dyDescent="0.3">
      <c r="B9" s="4" t="s">
        <v>6</v>
      </c>
      <c r="D9"/>
      <c r="E9"/>
    </row>
  </sheetData>
  <mergeCells count="1">
    <mergeCell ref="C1:F1"/>
  </mergeCells>
  <hyperlinks>
    <hyperlink ref="D3" location="Foundation!A1" display="Found" xr:uid="{00000000-0004-0000-3000-000000000000}"/>
    <hyperlink ref="E3" location="Higher!A1" display="High" xr:uid="{00000000-0004-0000-30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7" tint="0.39997558519241921"/>
    <pageSetUpPr fitToPage="1"/>
  </sheetPr>
  <dimension ref="B1:F11"/>
  <sheetViews>
    <sheetView topLeftCell="A2" zoomScaleNormal="100" workbookViewId="0">
      <selection activeCell="I7" sqref="I7"/>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6" thickBot="1" x14ac:dyDescent="0.45">
      <c r="B1" s="18" t="s">
        <v>5</v>
      </c>
      <c r="C1" s="87" t="s">
        <v>38</v>
      </c>
      <c r="D1" s="88"/>
      <c r="E1" s="88"/>
      <c r="F1" s="89"/>
    </row>
    <row r="3" spans="2:6" x14ac:dyDescent="0.3">
      <c r="B3" s="20" t="s">
        <v>2</v>
      </c>
      <c r="C3" s="3" t="s">
        <v>3</v>
      </c>
      <c r="D3" s="10" t="s">
        <v>1</v>
      </c>
      <c r="E3" s="10" t="s">
        <v>4</v>
      </c>
      <c r="F3" s="3" t="s">
        <v>274</v>
      </c>
    </row>
    <row r="4" spans="2:6" ht="43.2" x14ac:dyDescent="0.3">
      <c r="B4" s="16" t="s">
        <v>156</v>
      </c>
      <c r="C4" s="2"/>
      <c r="D4" s="5" t="s">
        <v>234</v>
      </c>
      <c r="E4" s="5" t="s">
        <v>235</v>
      </c>
      <c r="F4" s="5" t="s">
        <v>278</v>
      </c>
    </row>
    <row r="5" spans="2:6" ht="43.2" x14ac:dyDescent="0.3">
      <c r="B5" s="16" t="s">
        <v>157</v>
      </c>
      <c r="C5" s="2"/>
      <c r="D5" s="5" t="s">
        <v>234</v>
      </c>
      <c r="E5" s="5" t="s">
        <v>235</v>
      </c>
      <c r="F5" s="27"/>
    </row>
    <row r="6" spans="2:6" ht="43.2" x14ac:dyDescent="0.3">
      <c r="B6" s="16" t="s">
        <v>158</v>
      </c>
      <c r="C6" s="2"/>
      <c r="D6" s="5" t="s">
        <v>234</v>
      </c>
      <c r="E6" s="5" t="s">
        <v>235</v>
      </c>
      <c r="F6" s="26"/>
    </row>
    <row r="7" spans="2:6" ht="43.2" x14ac:dyDescent="0.3">
      <c r="B7" s="16" t="s">
        <v>159</v>
      </c>
      <c r="C7" s="2"/>
      <c r="D7" s="5" t="s">
        <v>234</v>
      </c>
      <c r="E7" s="5" t="s">
        <v>235</v>
      </c>
      <c r="F7" s="13"/>
    </row>
    <row r="8" spans="2:6" ht="57.6" x14ac:dyDescent="0.3">
      <c r="B8" s="16" t="s">
        <v>160</v>
      </c>
      <c r="C8" s="2"/>
      <c r="D8" s="5" t="s">
        <v>234</v>
      </c>
      <c r="E8" s="5" t="s">
        <v>235</v>
      </c>
      <c r="F8" s="5"/>
    </row>
    <row r="9" spans="2:6" ht="57.6" x14ac:dyDescent="0.3">
      <c r="B9" s="16" t="s">
        <v>161</v>
      </c>
      <c r="C9" s="2"/>
      <c r="D9" s="5"/>
      <c r="E9" s="5" t="s">
        <v>235</v>
      </c>
      <c r="F9" s="5"/>
    </row>
    <row r="11" spans="2:6" x14ac:dyDescent="0.3">
      <c r="B11" s="4" t="s">
        <v>6</v>
      </c>
      <c r="D11"/>
      <c r="E11"/>
    </row>
  </sheetData>
  <mergeCells count="1">
    <mergeCell ref="C1:F1"/>
  </mergeCells>
  <hyperlinks>
    <hyperlink ref="D3" location="Foundation!A1" display="Found" xr:uid="{00000000-0004-0000-3100-000000000000}"/>
    <hyperlink ref="E3" location="Higher!A1" display="High" xr:uid="{00000000-0004-0000-31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7" tint="0.39997558519241921"/>
    <pageSetUpPr fitToPage="1"/>
  </sheetPr>
  <dimension ref="B1:F12"/>
  <sheetViews>
    <sheetView zoomScaleNormal="100" workbookViewId="0">
      <selection activeCell="I5" sqref="I5"/>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45" customHeight="1" thickBot="1" x14ac:dyDescent="0.45">
      <c r="B1" s="18" t="s">
        <v>5</v>
      </c>
      <c r="C1" s="150" t="s">
        <v>25</v>
      </c>
      <c r="D1" s="151"/>
      <c r="E1" s="151"/>
      <c r="F1" s="152"/>
    </row>
    <row r="3" spans="2:6" x14ac:dyDescent="0.3">
      <c r="B3" s="20" t="s">
        <v>2</v>
      </c>
      <c r="C3" s="3" t="s">
        <v>3</v>
      </c>
      <c r="D3" s="10" t="s">
        <v>1</v>
      </c>
      <c r="E3" s="10" t="s">
        <v>4</v>
      </c>
      <c r="F3" s="3" t="s">
        <v>274</v>
      </c>
    </row>
    <row r="4" spans="2:6" ht="144" x14ac:dyDescent="0.3">
      <c r="B4" s="16" t="s">
        <v>242</v>
      </c>
      <c r="C4" s="2"/>
      <c r="D4" s="5" t="s">
        <v>234</v>
      </c>
      <c r="E4" s="5" t="s">
        <v>235</v>
      </c>
      <c r="F4" s="13"/>
    </row>
    <row r="5" spans="2:6" ht="72" x14ac:dyDescent="0.3">
      <c r="B5" s="16" t="s">
        <v>91</v>
      </c>
      <c r="C5" s="2"/>
      <c r="D5" s="5" t="s">
        <v>234</v>
      </c>
      <c r="E5" s="5" t="s">
        <v>235</v>
      </c>
      <c r="F5" s="13"/>
    </row>
    <row r="6" spans="2:6" ht="72" x14ac:dyDescent="0.3">
      <c r="B6" s="16" t="s">
        <v>92</v>
      </c>
      <c r="C6" s="2"/>
      <c r="D6" s="5"/>
      <c r="E6" s="5" t="s">
        <v>235</v>
      </c>
      <c r="F6" s="13"/>
    </row>
    <row r="8" spans="2:6" x14ac:dyDescent="0.3">
      <c r="B8" s="4" t="s">
        <v>6</v>
      </c>
      <c r="D8"/>
      <c r="E8"/>
    </row>
    <row r="12" spans="2:6" x14ac:dyDescent="0.3">
      <c r="F12" s="19"/>
    </row>
  </sheetData>
  <mergeCells count="1">
    <mergeCell ref="C1:F1"/>
  </mergeCells>
  <hyperlinks>
    <hyperlink ref="D3" location="Foundation!A1" display="Found" xr:uid="{00000000-0004-0000-3200-000000000000}"/>
    <hyperlink ref="E3" location="Higher!A1" display="High" xr:uid="{00000000-0004-0000-32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7" tint="0.39997558519241921"/>
    <pageSetUpPr fitToPage="1"/>
  </sheetPr>
  <dimension ref="B1:F12"/>
  <sheetViews>
    <sheetView zoomScaleNormal="100" workbookViewId="0">
      <selection activeCell="F13" sqref="F13"/>
    </sheetView>
  </sheetViews>
  <sheetFormatPr defaultColWidth="9.109375" defaultRowHeight="14.4" x14ac:dyDescent="0.3"/>
  <cols>
    <col min="1" max="1" width="4" customWidth="1"/>
    <col min="2" max="2" width="43.21875" style="19" customWidth="1"/>
    <col min="4" max="5" width="7.21875" style="1" customWidth="1"/>
    <col min="6" max="6" width="22.77734375" customWidth="1"/>
  </cols>
  <sheetData>
    <row r="1" spans="2:6" ht="21.45" customHeight="1" thickBot="1" x14ac:dyDescent="0.45">
      <c r="B1" s="18" t="s">
        <v>5</v>
      </c>
      <c r="C1" s="150" t="s">
        <v>37</v>
      </c>
      <c r="D1" s="151"/>
      <c r="E1" s="151"/>
      <c r="F1" s="152"/>
    </row>
    <row r="3" spans="2:6" x14ac:dyDescent="0.3">
      <c r="B3" s="20" t="s">
        <v>2</v>
      </c>
      <c r="C3" s="3" t="s">
        <v>3</v>
      </c>
      <c r="D3" s="10" t="s">
        <v>1</v>
      </c>
      <c r="E3" s="10" t="s">
        <v>4</v>
      </c>
      <c r="F3" s="3" t="s">
        <v>274</v>
      </c>
    </row>
    <row r="4" spans="2:6" ht="100.8" x14ac:dyDescent="0.3">
      <c r="B4" s="16" t="s">
        <v>243</v>
      </c>
      <c r="C4" s="2"/>
      <c r="D4" s="5" t="s">
        <v>234</v>
      </c>
      <c r="E4" s="5" t="s">
        <v>235</v>
      </c>
      <c r="F4" s="13"/>
    </row>
    <row r="5" spans="2:6" x14ac:dyDescent="0.3">
      <c r="B5" s="16" t="s">
        <v>151</v>
      </c>
      <c r="C5" s="2"/>
      <c r="D5" s="5" t="s">
        <v>234</v>
      </c>
      <c r="E5" s="5" t="s">
        <v>235</v>
      </c>
      <c r="F5" s="13"/>
    </row>
    <row r="6" spans="2:6" ht="43.2" x14ac:dyDescent="0.3">
      <c r="B6" s="16" t="s">
        <v>152</v>
      </c>
      <c r="C6" s="2"/>
      <c r="D6" s="5" t="s">
        <v>234</v>
      </c>
      <c r="E6" s="5" t="s">
        <v>235</v>
      </c>
      <c r="F6" s="13"/>
    </row>
    <row r="8" spans="2:6" x14ac:dyDescent="0.3">
      <c r="B8" s="4" t="s">
        <v>6</v>
      </c>
      <c r="D8"/>
      <c r="E8"/>
    </row>
    <row r="12" spans="2:6" x14ac:dyDescent="0.3">
      <c r="F12" s="19"/>
    </row>
  </sheetData>
  <mergeCells count="1">
    <mergeCell ref="C1:F1"/>
  </mergeCells>
  <hyperlinks>
    <hyperlink ref="D3" location="Foundation!A1" display="Found" xr:uid="{00000000-0004-0000-3300-000000000000}"/>
    <hyperlink ref="E3" location="Higher!A1" display="High" xr:uid="{00000000-0004-0000-3300-000001000000}"/>
  </hyperlinks>
  <pageMargins left="0.7" right="0.7" top="0.75" bottom="0.75" header="0.3" footer="0.3"/>
  <pageSetup paperSize="9" scale="86" fitToHeight="0" orientation="portrait" r:id="rId1"/>
  <headerFooter>
    <oddHeader xml:space="preserve">&amp;C2017- GCSE Scheme of Work
</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7" tint="0.39997558519241921"/>
  </sheetPr>
  <dimension ref="B1:F10"/>
  <sheetViews>
    <sheetView workbookViewId="0">
      <selection activeCell="F15" sqref="F15"/>
    </sheetView>
  </sheetViews>
  <sheetFormatPr defaultRowHeight="14.4" x14ac:dyDescent="0.3"/>
  <cols>
    <col min="1" max="1" width="4.109375" customWidth="1"/>
    <col min="2" max="2" width="43.21875" customWidth="1"/>
    <col min="6" max="6" width="22.77734375" customWidth="1"/>
  </cols>
  <sheetData>
    <row r="1" spans="2:6" ht="21.45" customHeight="1" thickBot="1" x14ac:dyDescent="0.45">
      <c r="B1" s="18" t="s">
        <v>5</v>
      </c>
      <c r="C1" s="150" t="s">
        <v>175</v>
      </c>
      <c r="D1" s="151"/>
      <c r="E1" s="151"/>
      <c r="F1" s="152"/>
    </row>
    <row r="2" spans="2:6" x14ac:dyDescent="0.3">
      <c r="B2" s="19"/>
      <c r="D2" s="1"/>
      <c r="E2" s="1"/>
    </row>
    <row r="3" spans="2:6" x14ac:dyDescent="0.3">
      <c r="B3" s="20" t="s">
        <v>2</v>
      </c>
      <c r="C3" s="3" t="s">
        <v>3</v>
      </c>
      <c r="D3" s="10" t="s">
        <v>1</v>
      </c>
      <c r="E3" s="10" t="s">
        <v>4</v>
      </c>
      <c r="F3" s="3" t="s">
        <v>274</v>
      </c>
    </row>
    <row r="4" spans="2:6" x14ac:dyDescent="0.3">
      <c r="B4" s="16" t="s">
        <v>176</v>
      </c>
      <c r="C4" s="2"/>
      <c r="D4" s="5" t="s">
        <v>234</v>
      </c>
      <c r="E4" s="5" t="s">
        <v>235</v>
      </c>
      <c r="F4" s="13"/>
    </row>
    <row r="5" spans="2:6" ht="28.8" x14ac:dyDescent="0.3">
      <c r="B5" s="16" t="s">
        <v>177</v>
      </c>
      <c r="C5" s="2"/>
      <c r="D5" s="5" t="s">
        <v>234</v>
      </c>
      <c r="E5" s="5" t="s">
        <v>235</v>
      </c>
      <c r="F5" s="13"/>
    </row>
    <row r="6" spans="2:6" x14ac:dyDescent="0.3">
      <c r="B6" s="16" t="s">
        <v>178</v>
      </c>
      <c r="C6" s="2"/>
      <c r="D6" s="5" t="s">
        <v>234</v>
      </c>
      <c r="E6" s="5" t="s">
        <v>235</v>
      </c>
      <c r="F6" s="13"/>
    </row>
    <row r="7" spans="2:6" x14ac:dyDescent="0.3">
      <c r="B7" s="16" t="s">
        <v>179</v>
      </c>
      <c r="C7" s="2"/>
      <c r="D7" s="5" t="s">
        <v>234</v>
      </c>
      <c r="E7" s="5" t="s">
        <v>235</v>
      </c>
      <c r="F7" s="13"/>
    </row>
    <row r="8" spans="2:6" ht="28.8" x14ac:dyDescent="0.3">
      <c r="B8" s="16" t="s">
        <v>180</v>
      </c>
      <c r="C8" s="2"/>
      <c r="D8" s="5" t="s">
        <v>234</v>
      </c>
      <c r="E8" s="5" t="s">
        <v>235</v>
      </c>
      <c r="F8" s="13"/>
    </row>
    <row r="10" spans="2:6" x14ac:dyDescent="0.3">
      <c r="B10" s="4" t="s">
        <v>6</v>
      </c>
    </row>
  </sheetData>
  <mergeCells count="1">
    <mergeCell ref="C1:F1"/>
  </mergeCells>
  <hyperlinks>
    <hyperlink ref="D3" location="Foundation!A1" display="Found" xr:uid="{00000000-0004-0000-3400-000000000000}"/>
    <hyperlink ref="E3" location="Higher!A1" display="High" xr:uid="{00000000-0004-0000-3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Front</vt:lpstr>
      <vt:lpstr>Foundation</vt:lpstr>
      <vt:lpstr>Higher</vt:lpstr>
      <vt:lpstr>Basic number</vt:lpstr>
      <vt:lpstr>Fractions and decimals</vt:lpstr>
      <vt:lpstr>Factors and multiples</vt:lpstr>
      <vt:lpstr>Indices</vt:lpstr>
      <vt:lpstr>Surds</vt:lpstr>
      <vt:lpstr>Standard form</vt:lpstr>
      <vt:lpstr>Rounding</vt:lpstr>
      <vt:lpstr>Ratio and proportion</vt:lpstr>
      <vt:lpstr>Basic percentages</vt:lpstr>
      <vt:lpstr>DIrect and inverse proportion</vt:lpstr>
      <vt:lpstr>Gradients and rates of change</vt:lpstr>
      <vt:lpstr>Growth and decay</vt:lpstr>
      <vt:lpstr>Basic algebra review</vt:lpstr>
      <vt:lpstr>Equations</vt:lpstr>
      <vt:lpstr>Algebraic fractions</vt:lpstr>
      <vt:lpstr>Quadratics</vt:lpstr>
      <vt:lpstr>Quadratic graphs</vt:lpstr>
      <vt:lpstr>Sketching graphs</vt:lpstr>
      <vt:lpstr>Transforming functions</vt:lpstr>
      <vt:lpstr>Real life graphs</vt:lpstr>
      <vt:lpstr>Pre-calculus</vt:lpstr>
      <vt:lpstr>Equation of a circle</vt:lpstr>
      <vt:lpstr>Further equations and graphs</vt:lpstr>
      <vt:lpstr>Solving quadratic equations</vt:lpstr>
      <vt:lpstr>Simultaneous equations</vt:lpstr>
      <vt:lpstr>Numerical methods</vt:lpstr>
      <vt:lpstr>Inequalities</vt:lpstr>
      <vt:lpstr>Sequences</vt:lpstr>
      <vt:lpstr>Angles, scales and bearings</vt:lpstr>
      <vt:lpstr>Constructions and loci</vt:lpstr>
      <vt:lpstr>Properties of polygons</vt:lpstr>
      <vt:lpstr>Congruence and similarity</vt:lpstr>
      <vt:lpstr>Transformations</vt:lpstr>
      <vt:lpstr>CIrcumference and area</vt:lpstr>
      <vt:lpstr>Circle theorems</vt:lpstr>
      <vt:lpstr>Coordinates and linear graphs</vt:lpstr>
      <vt:lpstr>Perimeter and area</vt:lpstr>
      <vt:lpstr>2D of 3D shapes</vt:lpstr>
      <vt:lpstr>Measures</vt:lpstr>
      <vt:lpstr>Scale factors and maps</vt:lpstr>
      <vt:lpstr>Volume</vt:lpstr>
      <vt:lpstr>Pythag and basic trig</vt:lpstr>
      <vt:lpstr>Trigonometry</vt:lpstr>
      <vt:lpstr>Sine and Cosine rules</vt:lpstr>
      <vt:lpstr>Vectors</vt:lpstr>
      <vt:lpstr>Basic probability</vt:lpstr>
      <vt:lpstr>Probability</vt:lpstr>
      <vt:lpstr>Collecting and representing </vt:lpstr>
      <vt:lpstr>Stats measures</vt:lpstr>
      <vt:lpstr>Scatter 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Workman</dc:creator>
  <cp:lastModifiedBy>Mark Workman</cp:lastModifiedBy>
  <cp:lastPrinted>2015-07-08T14:39:33Z</cp:lastPrinted>
  <dcterms:created xsi:type="dcterms:W3CDTF">2015-06-14T13:49:29Z</dcterms:created>
  <dcterms:modified xsi:type="dcterms:W3CDTF">2025-12-16T09:56:39Z</dcterms:modified>
</cp:coreProperties>
</file>